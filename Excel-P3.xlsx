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nnej\OneDrive\Desktop\Projects\"/>
    </mc:Choice>
  </mc:AlternateContent>
  <xr:revisionPtr revIDLastSave="0" documentId="13_ncr:1_{02F01FB7-CB24-4D26-9226-557A3DF5CCE8}" xr6:coauthVersionLast="47" xr6:coauthVersionMax="47" xr10:uidLastSave="{00000000-0000-0000-0000-000000000000}"/>
  <bookViews>
    <workbookView xWindow="-108" yWindow="-108" windowWidth="23256" windowHeight="13896" activeTab="4" xr2:uid="{1B8A368D-99D0-4779-887A-1396671F4CF5}"/>
  </bookViews>
  <sheets>
    <sheet name="Sheet11" sheetId="12" r:id="rId1"/>
    <sheet name="working sheet" sheetId="4" r:id="rId2"/>
    <sheet name="pivot" sheetId="11" r:id="rId3"/>
    <sheet name="validaton" sheetId="9" r:id="rId4"/>
    <sheet name="Dashbard" sheetId="13" r:id="rId5"/>
  </sheets>
  <definedNames>
    <definedName name="_xlchart.v1.0" hidden="1">validaton!$E$7:$E$16</definedName>
    <definedName name="_xlchart.v1.1" hidden="1">validaton!$F$7:$F$16</definedName>
    <definedName name="Slicer_Category">#N/A</definedName>
    <definedName name="Slicer_Origin_Country">#N/A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2" i="9" l="1"/>
  <c r="B18" i="9"/>
  <c r="N8" i="9" a="1"/>
  <c r="N8" i="9"/>
  <c r="L18" i="9"/>
  <c r="L19" i="9"/>
  <c r="L17" i="9"/>
  <c r="K17" i="9" a="1"/>
  <c r="G6" i="9" a="1"/>
  <c r="B7" i="9" a="1"/>
  <c r="H7" i="9"/>
  <c r="H8" i="9"/>
  <c r="H9" i="9"/>
  <c r="H10" i="9"/>
  <c r="H11" i="9"/>
  <c r="H12" i="9"/>
  <c r="H13" i="9"/>
  <c r="H14" i="9"/>
  <c r="H15" i="9"/>
  <c r="H16" i="9"/>
  <c r="K17" i="9" l="1"/>
  <c r="G6" i="9"/>
  <c r="H6" i="9" s="1"/>
  <c r="C7" i="9" a="1"/>
  <c r="C7" i="9"/>
  <c r="E7" i="9" s="1" a="1"/>
  <c r="B7" i="9"/>
  <c r="E7"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<sst xmlns="http://schemas.openxmlformats.org/spreadsheetml/2006/main" count="165" uniqueCount="68">
  <si>
    <t>Equipment</t>
  </si>
  <si>
    <t>Branch</t>
  </si>
  <si>
    <t>Category</t>
  </si>
  <si>
    <t>Origin Country</t>
  </si>
  <si>
    <t>Year Introduced</t>
  </si>
  <si>
    <t>Quantity</t>
  </si>
  <si>
    <t>Status</t>
  </si>
  <si>
    <t>T-90 Bhishma</t>
  </si>
  <si>
    <t>Army</t>
  </si>
  <si>
    <t>Tank</t>
  </si>
  <si>
    <t>Russia</t>
  </si>
  <si>
    <t>Active</t>
  </si>
  <si>
    <t>Arjun Mk1A</t>
  </si>
  <si>
    <t>India</t>
  </si>
  <si>
    <t>K9 Vajra-T</t>
  </si>
  <si>
    <t>BrahMos</t>
  </si>
  <si>
    <t>Missile</t>
  </si>
  <si>
    <t>India/Russia</t>
  </si>
  <si>
    <t>Multiple</t>
  </si>
  <si>
    <t>Pinaka</t>
  </si>
  <si>
    <t>Air Force</t>
  </si>
  <si>
    <t>France</t>
  </si>
  <si>
    <t>Su-30MKI</t>
  </si>
  <si>
    <t>Russia/India</t>
  </si>
  <si>
    <t>Tejas Mk1</t>
  </si>
  <si>
    <t>USA</t>
  </si>
  <si>
    <t>INS Vikrant</t>
  </si>
  <si>
    <t>Navy</t>
  </si>
  <si>
    <t>Aircraft Carrier</t>
  </si>
  <si>
    <t>INS Vikramaditya</t>
  </si>
  <si>
    <t>Kolkata Class</t>
  </si>
  <si>
    <t>Destroyer</t>
  </si>
  <si>
    <t>Shivalik Class</t>
  </si>
  <si>
    <t>Frigate</t>
  </si>
  <si>
    <t>Arihant Class</t>
  </si>
  <si>
    <t>Nuclear Submarine</t>
  </si>
  <si>
    <t>Row Labels</t>
  </si>
  <si>
    <t>Grand Total</t>
  </si>
  <si>
    <t>Count of Equipment</t>
  </si>
  <si>
    <t>Indigenous?</t>
  </si>
  <si>
    <t>Yes</t>
  </si>
  <si>
    <t>No</t>
  </si>
  <si>
    <t>T-72 Ajeya</t>
  </si>
  <si>
    <t>Artillery</t>
  </si>
  <si>
    <t>South Korea/India</t>
  </si>
  <si>
    <t>Partial</t>
  </si>
  <si>
    <t>M777</t>
  </si>
  <si>
    <t>ATAGS</t>
  </si>
  <si>
    <t>On Order</t>
  </si>
  <si>
    <t>Rocket System</t>
  </si>
  <si>
    <t>200+</t>
  </si>
  <si>
    <t>Tri-Service</t>
  </si>
  <si>
    <t>Fighter</t>
  </si>
  <si>
    <t>Tejas Mk1A</t>
  </si>
  <si>
    <t>Rafale</t>
  </si>
  <si>
    <t>Apache AH-64E</t>
  </si>
  <si>
    <t>Helicopter</t>
  </si>
  <si>
    <t>C-17 Globemaster</t>
  </si>
  <si>
    <t>Transport</t>
  </si>
  <si>
    <t xml:space="preserve">category </t>
  </si>
  <si>
    <t>equipment</t>
  </si>
  <si>
    <t>countof equi</t>
  </si>
  <si>
    <t>Count of Status</t>
  </si>
  <si>
    <t>origin ?</t>
  </si>
  <si>
    <t>count</t>
  </si>
  <si>
    <r>
      <rPr>
        <b/>
        <sz val="26"/>
        <color rgb="FFFFC000"/>
        <rFont val="Calibri"/>
        <family val="2"/>
        <scheme val="minor"/>
      </rPr>
      <t>Indian</t>
    </r>
    <r>
      <rPr>
        <b/>
        <sz val="26"/>
        <color theme="1"/>
        <rFont val="Calibri"/>
        <family val="2"/>
        <scheme val="minor"/>
      </rPr>
      <t xml:space="preserve"> </t>
    </r>
    <r>
      <rPr>
        <b/>
        <sz val="26"/>
        <color theme="0"/>
        <rFont val="Calibri"/>
        <family val="2"/>
        <scheme val="minor"/>
      </rPr>
      <t>Armed</t>
    </r>
    <r>
      <rPr>
        <b/>
        <sz val="26"/>
        <color rgb="FF00B0F0"/>
        <rFont val="Calibri"/>
        <family val="2"/>
        <scheme val="minor"/>
      </rPr>
      <t xml:space="preserve"> </t>
    </r>
    <r>
      <rPr>
        <b/>
        <sz val="26"/>
        <color theme="9" tint="-0.249977111117893"/>
        <rFont val="Calibri"/>
        <family val="2"/>
        <scheme val="minor"/>
      </rPr>
      <t>Forces</t>
    </r>
    <r>
      <rPr>
        <b/>
        <sz val="26"/>
        <color theme="1"/>
        <rFont val="Calibri"/>
        <family val="2"/>
        <scheme val="minor"/>
      </rPr>
      <t xml:space="preserve"> Weapons Dashboard</t>
    </r>
    <r>
      <rPr>
        <b/>
        <sz val="11"/>
        <color theme="1"/>
        <rFont val="Calibri"/>
        <family val="2"/>
        <scheme val="minor"/>
      </rPr>
      <t xml:space="preserve"> </t>
    </r>
  </si>
  <si>
    <t xml:space="preserve">Active </t>
  </si>
  <si>
    <r>
      <rPr>
        <b/>
        <sz val="26"/>
        <color rgb="FFFFC000"/>
        <rFont val="Calibri"/>
        <family val="2"/>
        <scheme val="minor"/>
      </rPr>
      <t xml:space="preserve">                                              Indian</t>
    </r>
    <r>
      <rPr>
        <b/>
        <sz val="26"/>
        <color theme="1"/>
        <rFont val="Calibri"/>
        <family val="2"/>
        <scheme val="minor"/>
      </rPr>
      <t xml:space="preserve"> </t>
    </r>
    <r>
      <rPr>
        <b/>
        <sz val="26"/>
        <color theme="0"/>
        <rFont val="Calibri"/>
        <family val="2"/>
        <scheme val="minor"/>
      </rPr>
      <t>Armed</t>
    </r>
    <r>
      <rPr>
        <b/>
        <sz val="26"/>
        <color rgb="FF00B0F0"/>
        <rFont val="Calibri"/>
        <family val="2"/>
        <scheme val="minor"/>
      </rPr>
      <t xml:space="preserve"> </t>
    </r>
    <r>
      <rPr>
        <b/>
        <sz val="26"/>
        <color theme="9" tint="-0.249977111117893"/>
        <rFont val="Calibri"/>
        <family val="2"/>
        <scheme val="minor"/>
      </rPr>
      <t>Forces</t>
    </r>
    <r>
      <rPr>
        <b/>
        <sz val="26"/>
        <color theme="1"/>
        <rFont val="Calibri"/>
        <family val="2"/>
        <scheme val="minor"/>
      </rPr>
      <t xml:space="preserve"> Weapons Dashboard</t>
    </r>
    <r>
      <rPr>
        <b/>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</si>
</sst>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26"/>
      <color rgb="FFFFC000"/>
      <name val="Calibri"/>
      <family val="2"/>
      <scheme val="minor"/>
    </font>
    <font>
      <b/>
      <sz val="26"/>
      <color theme="1"/>
      <name val="Calibri"/>
      <family val="2"/>
      <scheme val="minor"/>
    </font>
    <font>
      <b/>
      <sz val="26"/>
      <color rgb="FF00B0F0"/>
      <name val="Calibri"/>
      <family val="2"/>
      <scheme val="minor"/>
    </font>
    <font>
      <b/>
      <sz val="26"/>
      <color theme="9" tint="-0.249977111117893"/>
      <name val="Calibri"/>
      <family val="2"/>
      <scheme val="minor"/>
    </font>
    <font>
      <b/>
      <sz val="26"/>
      <color theme="0"/>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1"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tx1"/>
                </a:solidFill>
              </a:rPr>
              <a:t>Equipments</a:t>
            </a:r>
            <a:r>
              <a:rPr lang="en-US" sz="2000" baseline="0">
                <a:solidFill>
                  <a:schemeClr val="tx1"/>
                </a:solidFill>
              </a:rPr>
              <a:t> per branch</a:t>
            </a:r>
            <a:endParaRPr lang="en-US" sz="2000">
              <a:solidFill>
                <a:schemeClr val="tx1"/>
              </a:solidFill>
            </a:endParaRPr>
          </a:p>
        </c:rich>
      </c:tx>
      <c:layout>
        <c:manualLayout>
          <c:xMode val="edge"/>
          <c:yMode val="edge"/>
          <c:x val="0.23458566025725083"/>
          <c:y val="2.43028084893913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24501665693673"/>
          <c:y val="0.21949062269900932"/>
          <c:w val="0.78319203849518815"/>
          <c:h val="0.54767424905220186"/>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Army</c:v>
              </c:pt>
              <c:pt idx="1">
                <c:v>Air Force</c:v>
              </c:pt>
              <c:pt idx="2">
                <c:v>Navy</c:v>
              </c:pt>
              <c:pt idx="3">
                <c:v>Tri-Service</c:v>
              </c:pt>
            </c:strLit>
          </c:cat>
          <c:val>
            <c:numLit>
              <c:formatCode>General</c:formatCode>
              <c:ptCount val="4"/>
              <c:pt idx="0">
                <c:v>7</c:v>
              </c:pt>
              <c:pt idx="1">
                <c:v>6</c:v>
              </c:pt>
              <c:pt idx="2">
                <c:v>5</c:v>
              </c:pt>
              <c:pt idx="3">
                <c:v>1</c:v>
              </c:pt>
            </c:numLit>
          </c:val>
          <c:extLst>
            <c:ext xmlns:c16="http://schemas.microsoft.com/office/drawing/2014/chart" uri="{C3380CC4-5D6E-409C-BE32-E72D297353CC}">
              <c16:uniqueId val="{00000000-5D52-4380-84E8-A4B57E414295}"/>
            </c:ext>
          </c:extLst>
        </c:ser>
        <c:dLbls>
          <c:dLblPos val="outEnd"/>
          <c:showLegendKey val="0"/>
          <c:showVal val="1"/>
          <c:showCatName val="0"/>
          <c:showSerName val="0"/>
          <c:showPercent val="0"/>
          <c:showBubbleSize val="0"/>
        </c:dLbls>
        <c:gapWidth val="219"/>
        <c:overlap val="-27"/>
        <c:axId val="447243664"/>
        <c:axId val="447251824"/>
      </c:barChart>
      <c:catAx>
        <c:axId val="447243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600">
                    <a:solidFill>
                      <a:schemeClr val="tx1"/>
                    </a:solidFill>
                  </a:rPr>
                  <a:t>Branch</a:t>
                </a:r>
              </a:p>
            </c:rich>
          </c:tx>
          <c:layout>
            <c:manualLayout>
              <c:xMode val="edge"/>
              <c:yMode val="edge"/>
              <c:x val="0.42396172353455813"/>
              <c:y val="0.870441819772528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251824"/>
        <c:crosses val="autoZero"/>
        <c:auto val="1"/>
        <c:lblAlgn val="ctr"/>
        <c:lblOffset val="100"/>
        <c:noMultiLvlLbl val="0"/>
      </c:catAx>
      <c:valAx>
        <c:axId val="4472518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600">
                    <a:solidFill>
                      <a:schemeClr val="tx1"/>
                    </a:solidFill>
                  </a:rPr>
                  <a:t>No.</a:t>
                </a:r>
                <a:r>
                  <a:rPr lang="en-IN" sz="1600" baseline="0">
                    <a:solidFill>
                      <a:schemeClr val="tx1"/>
                    </a:solidFill>
                  </a:rPr>
                  <a:t> of equipments</a:t>
                </a:r>
              </a:p>
              <a:p>
                <a:pPr>
                  <a:defRPr/>
                </a:pPr>
                <a:endParaRPr lang="en-IN"/>
              </a:p>
            </c:rich>
          </c:tx>
          <c:layout>
            <c:manualLayout>
              <c:xMode val="edge"/>
              <c:yMode val="edge"/>
              <c:x val="5.4976095140522709E-3"/>
              <c:y val="0.153299285383976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24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[Excel-P3.xlsx]Sheet11!PivotTable11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tx1"/>
                </a:solidFill>
              </a:rPr>
              <a:t>Weapons</a:t>
            </a:r>
            <a:r>
              <a:rPr lang="en-IN" sz="1600" baseline="0">
                <a:solidFill>
                  <a:schemeClr val="tx1"/>
                </a:solidFill>
              </a:rPr>
              <a:t> per </a:t>
            </a:r>
            <a:r>
              <a:rPr lang="en-IN" sz="1800" baseline="0">
                <a:solidFill>
                  <a:schemeClr val="tx1"/>
                </a:solidFill>
              </a:rPr>
              <a:t>country</a:t>
            </a:r>
            <a:endParaRPr lang="en-IN" sz="1800">
              <a:solidFill>
                <a:schemeClr val="tx1"/>
              </a:solidFill>
            </a:endParaRPr>
          </a:p>
        </c:rich>
      </c:tx>
      <c:layout>
        <c:manualLayout>
          <c:xMode val="edge"/>
          <c:yMode val="edge"/>
          <c:x val="0.35155918310856493"/>
          <c:y val="4.90240087658062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Sheet11!$A$4:$A$11</c:f>
              <c:strCache>
                <c:ptCount val="7"/>
                <c:pt idx="0">
                  <c:v>India/Russia</c:v>
                </c:pt>
                <c:pt idx="1">
                  <c:v>France</c:v>
                </c:pt>
                <c:pt idx="2">
                  <c:v>South Korea/India</c:v>
                </c:pt>
                <c:pt idx="3">
                  <c:v>Russia/India</c:v>
                </c:pt>
                <c:pt idx="4">
                  <c:v>Russia</c:v>
                </c:pt>
                <c:pt idx="5">
                  <c:v>USA</c:v>
                </c:pt>
                <c:pt idx="6">
                  <c:v>India</c:v>
                </c:pt>
              </c:strCache>
            </c:strRef>
          </c:cat>
          <c:val>
            <c:numRef>
              <c:f>Sheet11!$B$4:$B$11</c:f>
              <c:numCache>
                <c:formatCode>General</c:formatCode>
                <c:ptCount val="7"/>
                <c:pt idx="0">
                  <c:v>1</c:v>
                </c:pt>
                <c:pt idx="1">
                  <c:v>1</c:v>
                </c:pt>
                <c:pt idx="2">
                  <c:v>1</c:v>
                </c:pt>
                <c:pt idx="3">
                  <c:v>1</c:v>
                </c:pt>
                <c:pt idx="4">
                  <c:v>3</c:v>
                </c:pt>
                <c:pt idx="5">
                  <c:v>3</c:v>
                </c:pt>
                <c:pt idx="6">
                  <c:v>9</c:v>
                </c:pt>
              </c:numCache>
            </c:numRef>
          </c:val>
          <c:extLst>
            <c:ext xmlns:c16="http://schemas.microsoft.com/office/drawing/2014/chart" uri="{C3380CC4-5D6E-409C-BE32-E72D297353CC}">
              <c16:uniqueId val="{00000000-21F3-46ED-B203-3FF359704708}"/>
            </c:ext>
          </c:extLst>
        </c:ser>
        <c:dLbls>
          <c:showLegendKey val="0"/>
          <c:showVal val="0"/>
          <c:showCatName val="0"/>
          <c:showSerName val="0"/>
          <c:showPercent val="0"/>
          <c:showBubbleSize val="0"/>
        </c:dLbls>
        <c:gapWidth val="182"/>
        <c:axId val="756263360"/>
        <c:axId val="756280160"/>
      </c:barChart>
      <c:catAx>
        <c:axId val="75626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280160"/>
        <c:crosses val="autoZero"/>
        <c:auto val="1"/>
        <c:lblAlgn val="ctr"/>
        <c:lblOffset val="100"/>
        <c:noMultiLvlLbl val="0"/>
      </c:catAx>
      <c:valAx>
        <c:axId val="756280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26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[Excel-P3.xlsx]pivot!PivotTable6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1"/>
                </a:solidFill>
              </a:rPr>
              <a:t>Year</a:t>
            </a:r>
            <a:r>
              <a:rPr lang="en-US" sz="1600" baseline="0">
                <a:solidFill>
                  <a:schemeClr val="tx1"/>
                </a:solidFill>
              </a:rPr>
              <a:t>s of weapon introduction</a:t>
            </a:r>
            <a:endParaRPr lang="en-US" sz="1600">
              <a:solidFill>
                <a:schemeClr val="tx1"/>
              </a:solidFill>
            </a:endParaRPr>
          </a:p>
        </c:rich>
      </c:tx>
      <c:layout>
        <c:manualLayout>
          <c:xMode val="edge"/>
          <c:yMode val="edge"/>
          <c:x val="0.29230367508585842"/>
          <c:y val="3.16188129520932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2337761538037"/>
          <c:y val="0.22848514506173673"/>
          <c:w val="0.71259908136482941"/>
          <c:h val="0.50954943132108488"/>
        </c:manualLayout>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strRef>
              <c:f>pivot!$A$4:$A$15</c:f>
              <c:strCache>
                <c:ptCount val="11"/>
                <c:pt idx="0">
                  <c:v>2010</c:v>
                </c:pt>
                <c:pt idx="1">
                  <c:v>2013</c:v>
                </c:pt>
                <c:pt idx="2">
                  <c:v>2014</c:v>
                </c:pt>
                <c:pt idx="3">
                  <c:v>2016</c:v>
                </c:pt>
                <c:pt idx="4">
                  <c:v>2017</c:v>
                </c:pt>
                <c:pt idx="5">
                  <c:v>2018</c:v>
                </c:pt>
                <c:pt idx="6">
                  <c:v>2019</c:v>
                </c:pt>
                <c:pt idx="7">
                  <c:v>2020</c:v>
                </c:pt>
                <c:pt idx="8">
                  <c:v>2021</c:v>
                </c:pt>
                <c:pt idx="9">
                  <c:v>2022</c:v>
                </c:pt>
                <c:pt idx="10">
                  <c:v>2025</c:v>
                </c:pt>
              </c:strCache>
            </c:strRef>
          </c:cat>
          <c:val>
            <c:numRef>
              <c:f>pivot!$B$4:$B$15</c:f>
              <c:numCache>
                <c:formatCode>General</c:formatCode>
                <c:ptCount val="11"/>
                <c:pt idx="0">
                  <c:v>1</c:v>
                </c:pt>
                <c:pt idx="1">
                  <c:v>2</c:v>
                </c:pt>
                <c:pt idx="2">
                  <c:v>1</c:v>
                </c:pt>
                <c:pt idx="3">
                  <c:v>2</c:v>
                </c:pt>
                <c:pt idx="4">
                  <c:v>1</c:v>
                </c:pt>
                <c:pt idx="5">
                  <c:v>1</c:v>
                </c:pt>
                <c:pt idx="6">
                  <c:v>1</c:v>
                </c:pt>
                <c:pt idx="7">
                  <c:v>1</c:v>
                </c:pt>
                <c:pt idx="8">
                  <c:v>1</c:v>
                </c:pt>
                <c:pt idx="9">
                  <c:v>1</c:v>
                </c:pt>
                <c:pt idx="10">
                  <c:v>2</c:v>
                </c:pt>
              </c:numCache>
            </c:numRef>
          </c:val>
          <c:smooth val="0"/>
          <c:extLst>
            <c:ext xmlns:c16="http://schemas.microsoft.com/office/drawing/2014/chart" uri="{C3380CC4-5D6E-409C-BE32-E72D297353CC}">
              <c16:uniqueId val="{00000000-F309-4338-ACA2-3D0FE1FBBB7E}"/>
            </c:ext>
          </c:extLst>
        </c:ser>
        <c:dLbls>
          <c:showLegendKey val="0"/>
          <c:showVal val="0"/>
          <c:showCatName val="0"/>
          <c:showSerName val="0"/>
          <c:showPercent val="0"/>
          <c:showBubbleSize val="0"/>
        </c:dLbls>
        <c:smooth val="0"/>
        <c:axId val="342038352"/>
        <c:axId val="342046032"/>
      </c:lineChart>
      <c:catAx>
        <c:axId val="34203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solidFill>
                      <a:schemeClr val="tx1"/>
                    </a:solidFill>
                  </a:rPr>
                  <a:t>Year</a:t>
                </a:r>
                <a:r>
                  <a:rPr lang="en-IN" sz="1400" baseline="0">
                    <a:solidFill>
                      <a:schemeClr val="tx1"/>
                    </a:solidFill>
                  </a:rPr>
                  <a:t> Introduced</a:t>
                </a:r>
                <a:endParaRPr lang="en-IN" sz="1400">
                  <a:solidFill>
                    <a:schemeClr val="tx1"/>
                  </a:solidFill>
                </a:endParaRPr>
              </a:p>
            </c:rich>
          </c:tx>
          <c:layout>
            <c:manualLayout>
              <c:xMode val="edge"/>
              <c:yMode val="edge"/>
              <c:x val="0.35412865633140561"/>
              <c:y val="0.8587161164489911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046032"/>
        <c:crosses val="autoZero"/>
        <c:auto val="1"/>
        <c:lblAlgn val="ctr"/>
        <c:lblOffset val="100"/>
        <c:noMultiLvlLbl val="0"/>
      </c:catAx>
      <c:valAx>
        <c:axId val="342046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solidFill>
                      <a:schemeClr val="tx1"/>
                    </a:solidFill>
                  </a:rPr>
                  <a:t>No.</a:t>
                </a:r>
                <a:r>
                  <a:rPr lang="en-IN" sz="1400" baseline="0">
                    <a:solidFill>
                      <a:schemeClr val="tx1"/>
                    </a:solidFill>
                  </a:rPr>
                  <a:t> of equipments</a:t>
                </a:r>
                <a:endParaRPr lang="en-IN" sz="1400">
                  <a:solidFill>
                    <a:schemeClr val="tx1"/>
                  </a:solidFill>
                </a:endParaRPr>
              </a:p>
            </c:rich>
          </c:tx>
          <c:layout>
            <c:manualLayout>
              <c:xMode val="edge"/>
              <c:yMode val="edge"/>
              <c:x val="3.3577892527074459E-2"/>
              <c:y val="0.135068428946381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038352"/>
        <c:crosses val="autoZero"/>
        <c:crossBetween val="between"/>
      </c:valAx>
      <c:spPr>
        <a:noFill/>
        <a:ln>
          <a:noFill/>
        </a:ln>
        <a:effectLst/>
      </c:spPr>
    </c:plotArea>
    <c:legend>
      <c:legendPos val="r"/>
      <c:layout>
        <c:manualLayout>
          <c:xMode val="edge"/>
          <c:yMode val="edge"/>
          <c:x val="0.7918375851656807"/>
          <c:y val="0.53662088923299534"/>
          <c:w val="0.17348033075238548"/>
          <c:h val="0.118377714597585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[Excel-P3.xlsx]pivot!PivotTable7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tx1"/>
                </a:solidFill>
              </a:rPr>
              <a:t>Status</a:t>
            </a:r>
            <a:r>
              <a:rPr lang="en-IN" sz="1600" baseline="0">
                <a:solidFill>
                  <a:schemeClr val="tx1"/>
                </a:solidFill>
              </a:rPr>
              <a:t> of weapons</a:t>
            </a:r>
            <a:endParaRPr lang="en-IN" sz="1600">
              <a:solidFill>
                <a:schemeClr val="tx1"/>
              </a:solidFill>
            </a:endParaRPr>
          </a:p>
        </c:rich>
      </c:tx>
      <c:layout>
        <c:manualLayout>
          <c:xMode val="edge"/>
          <c:yMode val="edge"/>
          <c:x val="0.33149751244152725"/>
          <c:y val="5.33362949310786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pivot!$C$19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AE-455C-944F-5D3F45313C93}"/>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75AE-455C-944F-5D3F45313C93}"/>
              </c:ext>
            </c:extLst>
          </c:dPt>
          <c:cat>
            <c:strRef>
              <c:f>pivot!$B$20:$B$22</c:f>
              <c:strCache>
                <c:ptCount val="2"/>
                <c:pt idx="0">
                  <c:v>Active</c:v>
                </c:pt>
                <c:pt idx="1">
                  <c:v>On Order</c:v>
                </c:pt>
              </c:strCache>
            </c:strRef>
          </c:cat>
          <c:val>
            <c:numRef>
              <c:f>pivot!$C$20:$C$22</c:f>
              <c:numCache>
                <c:formatCode>General</c:formatCode>
                <c:ptCount val="2"/>
                <c:pt idx="0">
                  <c:v>17</c:v>
                </c:pt>
                <c:pt idx="1">
                  <c:v>2</c:v>
                </c:pt>
              </c:numCache>
            </c:numRef>
          </c:val>
          <c:extLst>
            <c:ext xmlns:c16="http://schemas.microsoft.com/office/drawing/2014/chart" uri="{C3380CC4-5D6E-409C-BE32-E72D297353CC}">
              <c16:uniqueId val="{00000004-75AE-455C-944F-5D3F45313C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[Excel-P3.xlsx]pivot!PivotTable8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tx1"/>
                </a:solidFill>
              </a:rPr>
              <a:t>Equipments</a:t>
            </a:r>
            <a:r>
              <a:rPr lang="en-US" sz="1800" baseline="0">
                <a:solidFill>
                  <a:schemeClr val="tx1"/>
                </a:solidFill>
              </a:rPr>
              <a:t> per category</a:t>
            </a:r>
          </a:p>
          <a:p>
            <a:pPr>
              <a:defRPr/>
            </a:pPr>
            <a:endParaRPr lang="en-US"/>
          </a:p>
        </c:rich>
      </c:tx>
      <c:layout>
        <c:manualLayout>
          <c:xMode val="edge"/>
          <c:yMode val="edge"/>
          <c:x val="0.29301278123301383"/>
          <c:y val="6.40535332907749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09933774834436"/>
          <c:y val="0.22890605885204024"/>
          <c:w val="0.83998368854367744"/>
          <c:h val="0.35627018328478743"/>
        </c:manualLayout>
      </c:layout>
      <c:barChart>
        <c:barDir val="col"/>
        <c:grouping val="clustered"/>
        <c:varyColors val="0"/>
        <c:ser>
          <c:idx val="0"/>
          <c:order val="0"/>
          <c:tx>
            <c:strRef>
              <c:f>pivot!$E$4</c:f>
              <c:strCache>
                <c:ptCount val="1"/>
                <c:pt idx="0">
                  <c:v>Total</c:v>
                </c:pt>
              </c:strCache>
            </c:strRef>
          </c:tx>
          <c:spPr>
            <a:solidFill>
              <a:schemeClr val="accent1"/>
            </a:solidFill>
            <a:ln>
              <a:noFill/>
            </a:ln>
            <a:effectLst/>
          </c:spPr>
          <c:invertIfNegative val="0"/>
          <c:cat>
            <c:strRef>
              <c:f>pivot!$D$5:$D$16</c:f>
              <c:strCache>
                <c:ptCount val="11"/>
                <c:pt idx="0">
                  <c:v>Aircraft Carrier</c:v>
                </c:pt>
                <c:pt idx="1">
                  <c:v>Artillery</c:v>
                </c:pt>
                <c:pt idx="2">
                  <c:v>Destroyer</c:v>
                </c:pt>
                <c:pt idx="3">
                  <c:v>Fighter</c:v>
                </c:pt>
                <c:pt idx="4">
                  <c:v>Frigate</c:v>
                </c:pt>
                <c:pt idx="5">
                  <c:v>Helicopter</c:v>
                </c:pt>
                <c:pt idx="6">
                  <c:v>Missile</c:v>
                </c:pt>
                <c:pt idx="7">
                  <c:v>Nuclear Submarine</c:v>
                </c:pt>
                <c:pt idx="8">
                  <c:v>Rocket System</c:v>
                </c:pt>
                <c:pt idx="9">
                  <c:v>Tank</c:v>
                </c:pt>
                <c:pt idx="10">
                  <c:v>Transport</c:v>
                </c:pt>
              </c:strCache>
            </c:strRef>
          </c:cat>
          <c:val>
            <c:numRef>
              <c:f>pivot!$E$5:$E$16</c:f>
              <c:numCache>
                <c:formatCode>General</c:formatCode>
                <c:ptCount val="11"/>
                <c:pt idx="0">
                  <c:v>2</c:v>
                </c:pt>
                <c:pt idx="1">
                  <c:v>3</c:v>
                </c:pt>
                <c:pt idx="2">
                  <c:v>1</c:v>
                </c:pt>
                <c:pt idx="3">
                  <c:v>4</c:v>
                </c:pt>
                <c:pt idx="4">
                  <c:v>1</c:v>
                </c:pt>
                <c:pt idx="5">
                  <c:v>1</c:v>
                </c:pt>
                <c:pt idx="6">
                  <c:v>1</c:v>
                </c:pt>
                <c:pt idx="7">
                  <c:v>1</c:v>
                </c:pt>
                <c:pt idx="8">
                  <c:v>1</c:v>
                </c:pt>
                <c:pt idx="9">
                  <c:v>3</c:v>
                </c:pt>
                <c:pt idx="10">
                  <c:v>1</c:v>
                </c:pt>
              </c:numCache>
            </c:numRef>
          </c:val>
          <c:extLst>
            <c:ext xmlns:c16="http://schemas.microsoft.com/office/drawing/2014/chart" uri="{C3380CC4-5D6E-409C-BE32-E72D297353CC}">
              <c16:uniqueId val="{00000000-B5EA-444B-8E93-2F107D94EB11}"/>
            </c:ext>
          </c:extLst>
        </c:ser>
        <c:dLbls>
          <c:showLegendKey val="0"/>
          <c:showVal val="0"/>
          <c:showCatName val="0"/>
          <c:showSerName val="0"/>
          <c:showPercent val="0"/>
          <c:showBubbleSize val="0"/>
        </c:dLbls>
        <c:gapWidth val="219"/>
        <c:overlap val="-27"/>
        <c:axId val="756242240"/>
        <c:axId val="756242720"/>
      </c:barChart>
      <c:catAx>
        <c:axId val="75624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242720"/>
        <c:crosses val="autoZero"/>
        <c:auto val="1"/>
        <c:lblAlgn val="ctr"/>
        <c:lblOffset val="100"/>
        <c:noMultiLvlLbl val="0"/>
      </c:catAx>
      <c:valAx>
        <c:axId val="756242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24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Equipment per category</cx:v>
        </cx:txData>
      </cx:tx>
      <cx:txPr>
        <a:bodyPr spcFirstLastPara="1" vertOverflow="ellipsis" horzOverflow="overflow" wrap="square" lIns="0" tIns="0" rIns="0" bIns="0" anchor="ctr" anchorCtr="1"/>
        <a:lstStyle/>
        <a:p>
          <a:pPr algn="ctr" rtl="0">
            <a:defRPr/>
          </a:pPr>
          <a:r>
            <a:rPr lang="en-US" sz="1800" b="0" i="0" u="none" strike="noStrike" baseline="0">
              <a:solidFill>
                <a:schemeClr val="tx1"/>
              </a:solidFill>
              <a:latin typeface="Calibri" panose="020F0502020204030204"/>
            </a:rPr>
            <a:t>Equipment per category</a:t>
          </a:r>
        </a:p>
      </cx:txPr>
    </cx:title>
    <cx:plotArea>
      <cx:plotAreaRegion>
        <cx:series layoutId="treemap" uniqueId="{00000000-BE64-434D-A45C-8302093F4E7B}">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593258</xdr:colOff>
      <xdr:row>8</xdr:row>
      <xdr:rowOff>62753</xdr:rowOff>
    </xdr:to>
    <xdr:pic>
      <xdr:nvPicPr>
        <xdr:cNvPr id="9" name="Picture 8">
          <a:extLst>
            <a:ext uri="{FF2B5EF4-FFF2-40B4-BE49-F238E27FC236}">
              <a16:creationId xmlns:a16="http://schemas.microsoft.com/office/drawing/2014/main" id="{8408F18E-921F-D841-9CB9-B46126A3E1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12458" cy="1497106"/>
        </a:xfrm>
        <a:prstGeom prst="rect">
          <a:avLst/>
        </a:prstGeom>
      </xdr:spPr>
    </xdr:pic>
    <xdr:clientData/>
  </xdr:twoCellAnchor>
  <xdr:twoCellAnchor>
    <xdr:from>
      <xdr:col>3</xdr:col>
      <xdr:colOff>475130</xdr:colOff>
      <xdr:row>8</xdr:row>
      <xdr:rowOff>25896</xdr:rowOff>
    </xdr:from>
    <xdr:to>
      <xdr:col>10</xdr:col>
      <xdr:colOff>313765</xdr:colOff>
      <xdr:row>20</xdr:row>
      <xdr:rowOff>125506</xdr:rowOff>
    </xdr:to>
    <xdr:graphicFrame macro="">
      <xdr:nvGraphicFramePr>
        <xdr:cNvPr id="10" name="Chart 9">
          <a:extLst>
            <a:ext uri="{FF2B5EF4-FFF2-40B4-BE49-F238E27FC236}">
              <a16:creationId xmlns:a16="http://schemas.microsoft.com/office/drawing/2014/main" id="{059F1E03-1680-49A7-A428-02C24ECE7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98612</xdr:colOff>
      <xdr:row>8</xdr:row>
      <xdr:rowOff>53789</xdr:rowOff>
    </xdr:from>
    <xdr:to>
      <xdr:col>18</xdr:col>
      <xdr:colOff>197223</xdr:colOff>
      <xdr:row>21</xdr:row>
      <xdr:rowOff>71719</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EACD01E1-BD04-4018-AFEE-C24EFD4A25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804212" y="1488142"/>
              <a:ext cx="4365811" cy="234875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218725</xdr:colOff>
      <xdr:row>8</xdr:row>
      <xdr:rowOff>67483</xdr:rowOff>
    </xdr:from>
    <xdr:to>
      <xdr:col>26</xdr:col>
      <xdr:colOff>546848</xdr:colOff>
      <xdr:row>21</xdr:row>
      <xdr:rowOff>0</xdr:rowOff>
    </xdr:to>
    <xdr:graphicFrame macro="">
      <xdr:nvGraphicFramePr>
        <xdr:cNvPr id="12" name="Chart 11">
          <a:extLst>
            <a:ext uri="{FF2B5EF4-FFF2-40B4-BE49-F238E27FC236}">
              <a16:creationId xmlns:a16="http://schemas.microsoft.com/office/drawing/2014/main" id="{6516CDB2-7681-47B0-80B9-687A6284A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313764</xdr:colOff>
      <xdr:row>22</xdr:row>
      <xdr:rowOff>71716</xdr:rowOff>
    </xdr:from>
    <xdr:to>
      <xdr:col>10</xdr:col>
      <xdr:colOff>331693</xdr:colOff>
      <xdr:row>35</xdr:row>
      <xdr:rowOff>17930</xdr:rowOff>
    </xdr:to>
    <xdr:graphicFrame macro="">
      <xdr:nvGraphicFramePr>
        <xdr:cNvPr id="13" name="Chart 12">
          <a:extLst>
            <a:ext uri="{FF2B5EF4-FFF2-40B4-BE49-F238E27FC236}">
              <a16:creationId xmlns:a16="http://schemas.microsoft.com/office/drawing/2014/main" id="{C4014B5C-2868-466A-A9D3-EFCDE7988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107577</xdr:colOff>
      <xdr:row>22</xdr:row>
      <xdr:rowOff>80682</xdr:rowOff>
    </xdr:from>
    <xdr:to>
      <xdr:col>18</xdr:col>
      <xdr:colOff>215153</xdr:colOff>
      <xdr:row>35</xdr:row>
      <xdr:rowOff>107577</xdr:rowOff>
    </xdr:to>
    <xdr:graphicFrame macro="">
      <xdr:nvGraphicFramePr>
        <xdr:cNvPr id="14" name="Chart 13">
          <a:extLst>
            <a:ext uri="{FF2B5EF4-FFF2-40B4-BE49-F238E27FC236}">
              <a16:creationId xmlns:a16="http://schemas.microsoft.com/office/drawing/2014/main" id="{AB63035F-30FC-46FA-9A2D-2A74C5D70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286871</xdr:colOff>
      <xdr:row>22</xdr:row>
      <xdr:rowOff>0</xdr:rowOff>
    </xdr:from>
    <xdr:to>
      <xdr:col>27</xdr:col>
      <xdr:colOff>62752</xdr:colOff>
      <xdr:row>35</xdr:row>
      <xdr:rowOff>62753</xdr:rowOff>
    </xdr:to>
    <xdr:graphicFrame macro="">
      <xdr:nvGraphicFramePr>
        <xdr:cNvPr id="15" name="Chart 14">
          <a:extLst>
            <a:ext uri="{FF2B5EF4-FFF2-40B4-BE49-F238E27FC236}">
              <a16:creationId xmlns:a16="http://schemas.microsoft.com/office/drawing/2014/main" id="{A8DEB097-9F49-4B6E-B8D2-5C961A71C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161365</xdr:colOff>
      <xdr:row>9</xdr:row>
      <xdr:rowOff>130817</xdr:rowOff>
    </xdr:from>
    <xdr:to>
      <xdr:col>3</xdr:col>
      <xdr:colOff>62753</xdr:colOff>
      <xdr:row>16</xdr:row>
      <xdr:rowOff>161363</xdr:rowOff>
    </xdr:to>
    <mc:AlternateContent xmlns:mc="http://schemas.openxmlformats.org/markup-compatibility/2006">
      <mc:Choice xmlns:a14="http://schemas.microsoft.com/office/drawing/2010/main" Requires="a14">
        <xdr:graphicFrame macro="">
          <xdr:nvGraphicFramePr>
            <xdr:cNvPr id="16" name="Origin Country">
              <a:extLst>
                <a:ext uri="{FF2B5EF4-FFF2-40B4-BE49-F238E27FC236}">
                  <a16:creationId xmlns:a16="http://schemas.microsoft.com/office/drawing/2014/main" id="{27DBF793-0801-403B-B02B-1288E9D789B5}"/>
                </a:ext>
              </a:extLst>
            </xdr:cNvPr>
            <xdr:cNvGraphicFramePr/>
          </xdr:nvGraphicFramePr>
          <xdr:xfrm>
            <a:off x="0" y="0"/>
            <a:ext cx="0" cy="0"/>
          </xdr:xfrm>
          <a:graphic>
            <a:graphicData uri="http://schemas.microsoft.com/office/drawing/2010/slicer">
              <sle:slicer xmlns:sle="http://schemas.microsoft.com/office/drawing/2010/slicer" name="Origin Country"/>
            </a:graphicData>
          </a:graphic>
        </xdr:graphicFrame>
      </mc:Choice>
      <mc:Fallback>
        <xdr:sp macro="" textlink="">
          <xdr:nvSpPr>
            <xdr:cNvPr id="0" name=""/>
            <xdr:cNvSpPr>
              <a:spLocks noTextEdit="1"/>
            </xdr:cNvSpPr>
          </xdr:nvSpPr>
          <xdr:spPr>
            <a:xfrm>
              <a:off x="161365" y="1744464"/>
              <a:ext cx="1730188" cy="1285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161363</xdr:colOff>
      <xdr:row>18</xdr:row>
      <xdr:rowOff>12949</xdr:rowOff>
    </xdr:from>
    <xdr:to>
      <xdr:col>3</xdr:col>
      <xdr:colOff>116540</xdr:colOff>
      <xdr:row>25</xdr:row>
      <xdr:rowOff>179293</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4B2FF2C9-4BC2-4373-BECB-5E2AF39DBE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1363" y="3240243"/>
              <a:ext cx="1783977" cy="1421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125506</xdr:colOff>
      <xdr:row>27</xdr:row>
      <xdr:rowOff>80682</xdr:rowOff>
    </xdr:from>
    <xdr:to>
      <xdr:col>3</xdr:col>
      <xdr:colOff>107576</xdr:colOff>
      <xdr:row>33</xdr:row>
      <xdr:rowOff>170328</xdr:rowOff>
    </xdr:to>
    <mc:AlternateContent xmlns:mc="http://schemas.openxmlformats.org/markup-compatibility/2006">
      <mc:Choice xmlns:a14="http://schemas.microsoft.com/office/drawing/2010/main" Requires="a14">
        <xdr:graphicFrame macro="">
          <xdr:nvGraphicFramePr>
            <xdr:cNvPr id="18" name="Status">
              <a:extLst>
                <a:ext uri="{FF2B5EF4-FFF2-40B4-BE49-F238E27FC236}">
                  <a16:creationId xmlns:a16="http://schemas.microsoft.com/office/drawing/2014/main" id="{0E66539C-89A5-4AD8-8721-7543DBB0F23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25506" y="4921623"/>
              <a:ext cx="1810870" cy="1165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142024</xdr:colOff>
      <xdr:row>3</xdr:row>
      <xdr:rowOff>71718</xdr:rowOff>
    </xdr:from>
    <xdr:to>
      <xdr:col>7</xdr:col>
      <xdr:colOff>502024</xdr:colOff>
      <xdr:row>7</xdr:row>
      <xdr:rowOff>26894</xdr:rowOff>
    </xdr:to>
    <xdr:sp macro="" textlink="">
      <xdr:nvSpPr>
        <xdr:cNvPr id="19" name="Rectangle 18">
          <a:extLst>
            <a:ext uri="{FF2B5EF4-FFF2-40B4-BE49-F238E27FC236}">
              <a16:creationId xmlns:a16="http://schemas.microsoft.com/office/drawing/2014/main" id="{18CA04F1-112C-CA7B-2BAE-1ABF95C05BFE}"/>
            </a:ext>
          </a:extLst>
        </xdr:cNvPr>
        <xdr:cNvSpPr/>
      </xdr:nvSpPr>
      <xdr:spPr>
        <a:xfrm>
          <a:off x="2580424" y="609600"/>
          <a:ext cx="2188800" cy="67235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r>
            <a:rPr lang="en-IN" sz="1400"/>
            <a:t>Total Equipment Types</a:t>
          </a:r>
        </a:p>
      </xdr:txBody>
    </xdr:sp>
    <xdr:clientData/>
  </xdr:twoCellAnchor>
  <xdr:twoCellAnchor>
    <xdr:from>
      <xdr:col>4</xdr:col>
      <xdr:colOff>449814</xdr:colOff>
      <xdr:row>5</xdr:row>
      <xdr:rowOff>42913</xdr:rowOff>
    </xdr:from>
    <xdr:to>
      <xdr:col>7</xdr:col>
      <xdr:colOff>179294</xdr:colOff>
      <xdr:row>6</xdr:row>
      <xdr:rowOff>98610</xdr:rowOff>
    </xdr:to>
    <xdr:sp macro="" textlink="">
      <xdr:nvSpPr>
        <xdr:cNvPr id="20" name="Rectangle 19">
          <a:extLst>
            <a:ext uri="{FF2B5EF4-FFF2-40B4-BE49-F238E27FC236}">
              <a16:creationId xmlns:a16="http://schemas.microsoft.com/office/drawing/2014/main" id="{F127E1B2-A7F4-0194-BD68-E5662BAA0876}"/>
            </a:ext>
          </a:extLst>
        </xdr:cNvPr>
        <xdr:cNvSpPr/>
      </xdr:nvSpPr>
      <xdr:spPr>
        <a:xfrm>
          <a:off x="2888214" y="939384"/>
          <a:ext cx="1558280" cy="23499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100"/>
            <a:t>                </a:t>
          </a:r>
          <a:r>
            <a:rPr lang="en-IN" sz="1400"/>
            <a:t> 10 </a:t>
          </a:r>
        </a:p>
      </xdr:txBody>
    </xdr:sp>
    <xdr:clientData/>
  </xdr:twoCellAnchor>
  <xdr:twoCellAnchor>
    <xdr:from>
      <xdr:col>9</xdr:col>
      <xdr:colOff>53788</xdr:colOff>
      <xdr:row>3</xdr:row>
      <xdr:rowOff>80683</xdr:rowOff>
    </xdr:from>
    <xdr:to>
      <xdr:col>12</xdr:col>
      <xdr:colOff>466165</xdr:colOff>
      <xdr:row>7</xdr:row>
      <xdr:rowOff>8964</xdr:rowOff>
    </xdr:to>
    <xdr:sp macro="" textlink="">
      <xdr:nvSpPr>
        <xdr:cNvPr id="22" name="Rectangle 21">
          <a:extLst>
            <a:ext uri="{FF2B5EF4-FFF2-40B4-BE49-F238E27FC236}">
              <a16:creationId xmlns:a16="http://schemas.microsoft.com/office/drawing/2014/main" id="{A3EE755F-8C3B-7893-8653-325915AF0AB4}"/>
            </a:ext>
          </a:extLst>
        </xdr:cNvPr>
        <xdr:cNvSpPr/>
      </xdr:nvSpPr>
      <xdr:spPr>
        <a:xfrm>
          <a:off x="5540188" y="618565"/>
          <a:ext cx="2241177" cy="64545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r>
            <a:rPr lang="en-IN" sz="1400"/>
            <a:t>Total Active personnel</a:t>
          </a:r>
        </a:p>
      </xdr:txBody>
    </xdr:sp>
    <xdr:clientData/>
  </xdr:twoCellAnchor>
  <xdr:twoCellAnchor>
    <xdr:from>
      <xdr:col>9</xdr:col>
      <xdr:colOff>311939</xdr:colOff>
      <xdr:row>5</xdr:row>
      <xdr:rowOff>13694</xdr:rowOff>
    </xdr:from>
    <xdr:to>
      <xdr:col>12</xdr:col>
      <xdr:colOff>333105</xdr:colOff>
      <xdr:row>6</xdr:row>
      <xdr:rowOff>41918</xdr:rowOff>
    </xdr:to>
    <xdr:sp macro="" textlink="">
      <xdr:nvSpPr>
        <xdr:cNvPr id="24" name="Rectangle 23">
          <a:extLst>
            <a:ext uri="{FF2B5EF4-FFF2-40B4-BE49-F238E27FC236}">
              <a16:creationId xmlns:a16="http://schemas.microsoft.com/office/drawing/2014/main" id="{8BE340CA-423A-3CA8-BCB6-F681299424A0}"/>
            </a:ext>
          </a:extLst>
        </xdr:cNvPr>
        <xdr:cNvSpPr/>
      </xdr:nvSpPr>
      <xdr:spPr>
        <a:xfrm>
          <a:off x="5798339" y="910165"/>
          <a:ext cx="1849966" cy="20751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a:t>14</a:t>
          </a:r>
        </a:p>
      </xdr:txBody>
    </xdr:sp>
    <xdr:clientData/>
  </xdr:twoCellAnchor>
  <xdr:twoCellAnchor>
    <xdr:from>
      <xdr:col>14</xdr:col>
      <xdr:colOff>358588</xdr:colOff>
      <xdr:row>3</xdr:row>
      <xdr:rowOff>107577</xdr:rowOff>
    </xdr:from>
    <xdr:to>
      <xdr:col>18</xdr:col>
      <xdr:colOff>403412</xdr:colOff>
      <xdr:row>7</xdr:row>
      <xdr:rowOff>53788</xdr:rowOff>
    </xdr:to>
    <xdr:sp macro="" textlink="">
      <xdr:nvSpPr>
        <xdr:cNvPr id="26" name="Rectangle 25">
          <a:extLst>
            <a:ext uri="{FF2B5EF4-FFF2-40B4-BE49-F238E27FC236}">
              <a16:creationId xmlns:a16="http://schemas.microsoft.com/office/drawing/2014/main" id="{5A6678F6-340A-09AC-D953-E3701CB6040A}"/>
            </a:ext>
          </a:extLst>
        </xdr:cNvPr>
        <xdr:cNvSpPr/>
      </xdr:nvSpPr>
      <xdr:spPr>
        <a:xfrm>
          <a:off x="8892988" y="645459"/>
          <a:ext cx="2483224" cy="66338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r>
            <a:rPr lang="en-IN" sz="1400"/>
            <a:t>Countries Supplying</a:t>
          </a:r>
          <a:r>
            <a:rPr lang="en-IN" sz="1400" baseline="0"/>
            <a:t> to India</a:t>
          </a:r>
          <a:endParaRPr lang="en-IN" sz="1400"/>
        </a:p>
      </xdr:txBody>
    </xdr:sp>
    <xdr:clientData/>
  </xdr:twoCellAnchor>
  <xdr:twoCellAnchor>
    <xdr:from>
      <xdr:col>15</xdr:col>
      <xdr:colOff>6806</xdr:colOff>
      <xdr:row>5</xdr:row>
      <xdr:rowOff>99523</xdr:rowOff>
    </xdr:from>
    <xdr:to>
      <xdr:col>18</xdr:col>
      <xdr:colOff>119695</xdr:colOff>
      <xdr:row>6</xdr:row>
      <xdr:rowOff>130651</xdr:rowOff>
    </xdr:to>
    <xdr:sp macro="" textlink="">
      <xdr:nvSpPr>
        <xdr:cNvPr id="27" name="Rectangle 26">
          <a:extLst>
            <a:ext uri="{FF2B5EF4-FFF2-40B4-BE49-F238E27FC236}">
              <a16:creationId xmlns:a16="http://schemas.microsoft.com/office/drawing/2014/main" id="{7A6029FE-AF3C-2156-B102-B690AADB8DEF}"/>
            </a:ext>
          </a:extLst>
        </xdr:cNvPr>
        <xdr:cNvSpPr/>
      </xdr:nvSpPr>
      <xdr:spPr>
        <a:xfrm>
          <a:off x="9150806" y="995994"/>
          <a:ext cx="1941689" cy="21042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a:t>4</a:t>
          </a:r>
        </a:p>
      </xdr:txBody>
    </xdr:sp>
    <xdr:clientData/>
  </xdr:twoCellAnchor>
  <xdr:twoCellAnchor>
    <xdr:from>
      <xdr:col>21</xdr:col>
      <xdr:colOff>429145</xdr:colOff>
      <xdr:row>3</xdr:row>
      <xdr:rowOff>113471</xdr:rowOff>
    </xdr:from>
    <xdr:to>
      <xdr:col>25</xdr:col>
      <xdr:colOff>502024</xdr:colOff>
      <xdr:row>6</xdr:row>
      <xdr:rowOff>179293</xdr:rowOff>
    </xdr:to>
    <xdr:sp macro="" textlink="">
      <xdr:nvSpPr>
        <xdr:cNvPr id="28" name="Rectangle 27">
          <a:extLst>
            <a:ext uri="{FF2B5EF4-FFF2-40B4-BE49-F238E27FC236}">
              <a16:creationId xmlns:a16="http://schemas.microsoft.com/office/drawing/2014/main" id="{8B3F0A59-DDF6-4DE4-C400-2CC6E305C5E2}"/>
            </a:ext>
          </a:extLst>
        </xdr:cNvPr>
        <xdr:cNvSpPr/>
      </xdr:nvSpPr>
      <xdr:spPr>
        <a:xfrm>
          <a:off x="13230745" y="651353"/>
          <a:ext cx="2511279" cy="60370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r>
            <a:rPr lang="en-IN" sz="1400"/>
            <a:t>Top supplier</a:t>
          </a:r>
        </a:p>
      </xdr:txBody>
    </xdr:sp>
    <xdr:clientData/>
  </xdr:twoCellAnchor>
  <xdr:twoCellAnchor>
    <xdr:from>
      <xdr:col>22</xdr:col>
      <xdr:colOff>157299</xdr:colOff>
      <xdr:row>5</xdr:row>
      <xdr:rowOff>39261</xdr:rowOff>
    </xdr:from>
    <xdr:to>
      <xdr:col>25</xdr:col>
      <xdr:colOff>72631</xdr:colOff>
      <xdr:row>6</xdr:row>
      <xdr:rowOff>88651</xdr:rowOff>
    </xdr:to>
    <xdr:sp macro="" textlink="">
      <xdr:nvSpPr>
        <xdr:cNvPr id="29" name="Rectangle 28">
          <a:extLst>
            <a:ext uri="{FF2B5EF4-FFF2-40B4-BE49-F238E27FC236}">
              <a16:creationId xmlns:a16="http://schemas.microsoft.com/office/drawing/2014/main" id="{03885393-E66D-BD9B-00A3-70050611314A}"/>
            </a:ext>
          </a:extLst>
        </xdr:cNvPr>
        <xdr:cNvSpPr/>
      </xdr:nvSpPr>
      <xdr:spPr>
        <a:xfrm>
          <a:off x="13568499" y="935732"/>
          <a:ext cx="1744132" cy="22868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a:t> Russia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aajoshi" refreshedDate="46169.775567476849" createdVersion="8" refreshedVersion="8" minRefreshableVersion="3" recordCount="19" xr:uid="{818BC33F-5397-4EF1-9916-263670426D74}">
  <cacheSource type="worksheet">
    <worksheetSource ref="A1:H20" sheet="working sheet"/>
  </cacheSource>
  <cacheFields count="8">
    <cacheField name="Equipment" numFmtId="0">
      <sharedItems count="19">
        <s v="Arjun Mk1A"/>
        <s v="T-90 Bhishma"/>
        <s v="T-72 Ajeya"/>
        <s v="K9 Vajra-T"/>
        <s v="M777"/>
        <s v="ATAGS"/>
        <s v="Pinaka"/>
        <s v="BrahMos"/>
        <s v="Tejas Mk1"/>
        <s v="Tejas Mk1A"/>
        <s v="Rafale"/>
        <s v="Su-30MKI"/>
        <s v="Apache AH-64E"/>
        <s v="C-17 Globemaster"/>
        <s v="INS Vikrant"/>
        <s v="INS Vikramaditya"/>
        <s v="Arihant Class"/>
        <s v="Kolkata Class"/>
        <s v="Shivalik Class"/>
      </sharedItems>
    </cacheField>
    <cacheField name="Branch" numFmtId="0">
      <sharedItems count="4">
        <s v="Army"/>
        <s v="Tri-Service"/>
        <s v="Air Force"/>
        <s v="Navy"/>
      </sharedItems>
    </cacheField>
    <cacheField name="Category" numFmtId="0">
      <sharedItems count="11">
        <s v="Tank"/>
        <s v="Artillery"/>
        <s v="Rocket System"/>
        <s v="Missile"/>
        <s v="Fighter"/>
        <s v="Helicopter"/>
        <s v="Transport"/>
        <s v="Aircraft Carrier"/>
        <s v="Nuclear Submarine"/>
        <s v="Destroyer"/>
        <s v="Frigate"/>
      </sharedItems>
    </cacheField>
    <cacheField name="Origin Country" numFmtId="0">
      <sharedItems count="7">
        <s v="India"/>
        <s v="Russia"/>
        <s v="South Korea/India"/>
        <s v="USA"/>
        <s v="India/Russia"/>
        <s v="France"/>
        <s v="Russia/India"/>
      </sharedItems>
    </cacheField>
    <cacheField name="Indigenous?" numFmtId="0">
      <sharedItems/>
    </cacheField>
    <cacheField name="Quantity" numFmtId="0">
      <sharedItems containsMixedTypes="1" containsNumber="1" containsInteger="1" minValue="1" maxValue="2418"/>
    </cacheField>
    <cacheField name="Year Introduced" numFmtId="0">
      <sharedItems containsSemiMixedTypes="0" containsString="0" containsNumber="1" containsInteger="1" minValue="1979" maxValue="2025" count="16">
        <n v="2021"/>
        <n v="2001"/>
        <n v="1979"/>
        <n v="2018"/>
        <n v="2017"/>
        <n v="2025"/>
        <n v="1998"/>
        <n v="2007"/>
        <n v="2016"/>
        <n v="2020"/>
        <n v="2002"/>
        <n v="2019"/>
        <n v="2013"/>
        <n v="2022"/>
        <n v="2014"/>
        <n v="2010"/>
      </sharedItems>
    </cacheField>
    <cacheField name="Status" numFmtId="0">
      <sharedItems count="2">
        <s v="Active"/>
        <s v="On Order"/>
      </sharedItems>
    </cacheField>
  </cacheFields>
  <extLst>
    <ext xmlns:x14="http://schemas.microsoft.com/office/spreadsheetml/2009/9/main" uri="{725AE2AE-9491-48be-B2B4-4EB974FC3084}">
      <x14:pivotCacheDefinition pivotCacheId="8744514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x v="0"/>
    <x v="0"/>
    <x v="0"/>
    <s v="Yes"/>
    <n v="118"/>
    <x v="0"/>
    <x v="0"/>
  </r>
  <r>
    <x v="1"/>
    <x v="0"/>
    <x v="0"/>
    <x v="1"/>
    <s v="No"/>
    <n v="1657"/>
    <x v="1"/>
    <x v="0"/>
  </r>
  <r>
    <x v="2"/>
    <x v="0"/>
    <x v="0"/>
    <x v="1"/>
    <s v="No"/>
    <n v="2418"/>
    <x v="2"/>
    <x v="0"/>
  </r>
  <r>
    <x v="3"/>
    <x v="0"/>
    <x v="1"/>
    <x v="2"/>
    <s v="Partial"/>
    <n v="100"/>
    <x v="3"/>
    <x v="0"/>
  </r>
  <r>
    <x v="4"/>
    <x v="0"/>
    <x v="1"/>
    <x v="3"/>
    <s v="No"/>
    <n v="145"/>
    <x v="4"/>
    <x v="0"/>
  </r>
  <r>
    <x v="5"/>
    <x v="0"/>
    <x v="1"/>
    <x v="0"/>
    <s v="Yes"/>
    <n v="300"/>
    <x v="5"/>
    <x v="1"/>
  </r>
  <r>
    <x v="6"/>
    <x v="0"/>
    <x v="2"/>
    <x v="0"/>
    <s v="Yes"/>
    <s v="200+"/>
    <x v="6"/>
    <x v="0"/>
  </r>
  <r>
    <x v="7"/>
    <x v="1"/>
    <x v="3"/>
    <x v="4"/>
    <s v="Partial"/>
    <s v="Multiple"/>
    <x v="7"/>
    <x v="0"/>
  </r>
  <r>
    <x v="8"/>
    <x v="2"/>
    <x v="4"/>
    <x v="0"/>
    <s v="Yes"/>
    <n v="40"/>
    <x v="8"/>
    <x v="0"/>
  </r>
  <r>
    <x v="9"/>
    <x v="2"/>
    <x v="4"/>
    <x v="0"/>
    <s v="Yes"/>
    <n v="83"/>
    <x v="5"/>
    <x v="1"/>
  </r>
  <r>
    <x v="10"/>
    <x v="2"/>
    <x v="4"/>
    <x v="5"/>
    <s v="No"/>
    <n v="36"/>
    <x v="9"/>
    <x v="0"/>
  </r>
  <r>
    <x v="11"/>
    <x v="2"/>
    <x v="4"/>
    <x v="6"/>
    <s v="Partial"/>
    <n v="272"/>
    <x v="10"/>
    <x v="0"/>
  </r>
  <r>
    <x v="12"/>
    <x v="2"/>
    <x v="5"/>
    <x v="3"/>
    <s v="No"/>
    <n v="22"/>
    <x v="11"/>
    <x v="0"/>
  </r>
  <r>
    <x v="13"/>
    <x v="2"/>
    <x v="6"/>
    <x v="3"/>
    <s v="No"/>
    <n v="11"/>
    <x v="12"/>
    <x v="0"/>
  </r>
  <r>
    <x v="14"/>
    <x v="3"/>
    <x v="7"/>
    <x v="0"/>
    <s v="Yes"/>
    <n v="1"/>
    <x v="13"/>
    <x v="0"/>
  </r>
  <r>
    <x v="15"/>
    <x v="3"/>
    <x v="7"/>
    <x v="1"/>
    <s v="No"/>
    <n v="1"/>
    <x v="12"/>
    <x v="0"/>
  </r>
  <r>
    <x v="16"/>
    <x v="3"/>
    <x v="8"/>
    <x v="0"/>
    <s v="Yes"/>
    <n v="2"/>
    <x v="8"/>
    <x v="0"/>
  </r>
  <r>
    <x v="17"/>
    <x v="3"/>
    <x v="9"/>
    <x v="0"/>
    <s v="Yes"/>
    <n v="3"/>
    <x v="14"/>
    <x v="0"/>
  </r>
  <r>
    <x v="18"/>
    <x v="3"/>
    <x v="10"/>
    <x v="0"/>
    <s v="Yes"/>
    <n v="3"/>
    <x v="1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14606F-AD90-4E6E-A982-618C9DEAFD1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8">
    <pivotField dataField="1" showAll="0">
      <items count="20">
        <item x="12"/>
        <item x="16"/>
        <item x="0"/>
        <item x="5"/>
        <item x="7"/>
        <item x="13"/>
        <item x="15"/>
        <item x="14"/>
        <item x="3"/>
        <item x="17"/>
        <item x="4"/>
        <item x="6"/>
        <item x="10"/>
        <item x="18"/>
        <item x="11"/>
        <item x="2"/>
        <item x="1"/>
        <item x="8"/>
        <item x="9"/>
        <item t="default"/>
      </items>
    </pivotField>
    <pivotField showAll="0"/>
    <pivotField showAll="0">
      <items count="12">
        <item x="7"/>
        <item x="1"/>
        <item x="9"/>
        <item x="4"/>
        <item x="10"/>
        <item x="5"/>
        <item x="3"/>
        <item x="8"/>
        <item x="2"/>
        <item x="0"/>
        <item x="6"/>
        <item t="default"/>
      </items>
    </pivotField>
    <pivotField axis="axisRow" showAll="0" sortType="ascending">
      <items count="8">
        <item x="5"/>
        <item x="0"/>
        <item x="4"/>
        <item x="1"/>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s>
  <rowFields count="1">
    <field x="3"/>
  </rowFields>
  <rowItems count="8">
    <i>
      <x v="2"/>
    </i>
    <i>
      <x/>
    </i>
    <i>
      <x v="5"/>
    </i>
    <i>
      <x v="4"/>
    </i>
    <i>
      <x v="3"/>
    </i>
    <i>
      <x v="6"/>
    </i>
    <i>
      <x v="1"/>
    </i>
    <i t="grand">
      <x/>
    </i>
  </rowItems>
  <colItems count="1">
    <i/>
  </colItems>
  <dataFields count="1">
    <dataField name="Count of Equipment" fld="0" subtotal="count"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3F7CC0-C10A-4D90-9A70-FF2FAF5E181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9:C22" firstHeaderRow="1" firstDataRow="1" firstDataCol="1"/>
  <pivotFields count="8">
    <pivotField showAll="0"/>
    <pivotField showAll="0"/>
    <pivotField showAll="0">
      <items count="12">
        <item x="7"/>
        <item x="1"/>
        <item x="9"/>
        <item x="4"/>
        <item x="10"/>
        <item x="5"/>
        <item x="3"/>
        <item x="8"/>
        <item x="2"/>
        <item x="0"/>
        <item x="6"/>
        <item t="default"/>
      </items>
    </pivotField>
    <pivotField showAll="0">
      <items count="8">
        <item x="5"/>
        <item x="0"/>
        <item x="4"/>
        <item x="1"/>
        <item x="6"/>
        <item x="2"/>
        <item x="3"/>
        <item t="default"/>
      </items>
    </pivotField>
    <pivotField showAll="0"/>
    <pivotField showAll="0"/>
    <pivotField showAll="0"/>
    <pivotField axis="axisRow" dataField="1" showAll="0">
      <items count="3">
        <item x="0"/>
        <item x="1"/>
        <item t="default"/>
      </items>
    </pivotField>
  </pivotFields>
  <rowFields count="1">
    <field x="7"/>
  </rowFields>
  <rowItems count="3">
    <i>
      <x/>
    </i>
    <i>
      <x v="1"/>
    </i>
    <i t="grand">
      <x/>
    </i>
  </rowItems>
  <colItems count="1">
    <i/>
  </colItems>
  <dataFields count="1">
    <dataField name="Count of Status" fld="7" subtotal="count" baseField="0" baseItem="0"/>
  </dataFields>
  <chartFormats count="3">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7" count="1" selected="0">
            <x v="0"/>
          </reference>
        </references>
      </pivotArea>
    </chartFormat>
    <chartFormat chart="7" format="1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86F813-FA36-4702-BE6C-780392B39FC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5" firstHeaderRow="1" firstDataRow="1" firstDataCol="1"/>
  <pivotFields count="8">
    <pivotField dataField="1" showAll="0"/>
    <pivotField showAll="0"/>
    <pivotField showAll="0">
      <items count="12">
        <item x="7"/>
        <item x="1"/>
        <item x="9"/>
        <item x="4"/>
        <item x="10"/>
        <item x="5"/>
        <item x="3"/>
        <item x="8"/>
        <item x="2"/>
        <item x="0"/>
        <item x="6"/>
        <item t="default"/>
      </items>
    </pivotField>
    <pivotField showAll="0">
      <items count="8">
        <item x="5"/>
        <item x="0"/>
        <item x="4"/>
        <item x="1"/>
        <item x="6"/>
        <item x="2"/>
        <item x="3"/>
        <item t="default"/>
      </items>
    </pivotField>
    <pivotField showAll="0"/>
    <pivotField showAll="0"/>
    <pivotField axis="axisRow" showAll="0">
      <items count="17">
        <item h="1" x="2"/>
        <item h="1" x="6"/>
        <item h="1" x="1"/>
        <item h="1" x="10"/>
        <item h="1" x="7"/>
        <item x="15"/>
        <item x="12"/>
        <item x="14"/>
        <item x="8"/>
        <item x="4"/>
        <item x="3"/>
        <item x="11"/>
        <item x="9"/>
        <item x="0"/>
        <item x="13"/>
        <item x="5"/>
        <item t="default"/>
      </items>
    </pivotField>
    <pivotField showAll="0">
      <items count="3">
        <item x="0"/>
        <item x="1"/>
        <item t="default"/>
      </items>
    </pivotField>
  </pivotFields>
  <rowFields count="1">
    <field x="6"/>
  </rowFields>
  <rowItems count="12">
    <i>
      <x v="5"/>
    </i>
    <i>
      <x v="6"/>
    </i>
    <i>
      <x v="7"/>
    </i>
    <i>
      <x v="8"/>
    </i>
    <i>
      <x v="9"/>
    </i>
    <i>
      <x v="10"/>
    </i>
    <i>
      <x v="11"/>
    </i>
    <i>
      <x v="12"/>
    </i>
    <i>
      <x v="13"/>
    </i>
    <i>
      <x v="14"/>
    </i>
    <i>
      <x v="15"/>
    </i>
    <i t="grand">
      <x/>
    </i>
  </rowItems>
  <colItems count="1">
    <i/>
  </colItems>
  <dataFields count="1">
    <dataField name="Count of Equipment" fld="0" subtotal="count" baseField="0" baseItem="0"/>
  </dataFields>
  <chartFormats count="2">
    <chartFormat chart="9" format="1"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BB04CF-6233-493B-B7F0-23CF85149B9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4:E16" firstHeaderRow="1" firstDataRow="1" firstDataCol="1"/>
  <pivotFields count="8">
    <pivotField dataField="1" showAll="0"/>
    <pivotField showAll="0"/>
    <pivotField axis="axisRow" showAll="0">
      <items count="12">
        <item x="7"/>
        <item x="1"/>
        <item x="9"/>
        <item x="4"/>
        <item x="10"/>
        <item x="5"/>
        <item x="3"/>
        <item x="8"/>
        <item x="2"/>
        <item x="0"/>
        <item x="6"/>
        <item t="default"/>
      </items>
    </pivotField>
    <pivotField showAll="0">
      <items count="8">
        <item x="5"/>
        <item x="0"/>
        <item x="4"/>
        <item x="1"/>
        <item x="6"/>
        <item x="2"/>
        <item x="3"/>
        <item t="default"/>
      </items>
    </pivotField>
    <pivotField showAll="0"/>
    <pivotField showAll="0"/>
    <pivotField showAll="0"/>
    <pivotField showAll="0">
      <items count="3">
        <item x="0"/>
        <item x="1"/>
        <item t="default"/>
      </items>
    </pivotField>
  </pivotFields>
  <rowFields count="1">
    <field x="2"/>
  </rowFields>
  <rowItems count="12">
    <i>
      <x/>
    </i>
    <i>
      <x v="1"/>
    </i>
    <i>
      <x v="2"/>
    </i>
    <i>
      <x v="3"/>
    </i>
    <i>
      <x v="4"/>
    </i>
    <i>
      <x v="5"/>
    </i>
    <i>
      <x v="6"/>
    </i>
    <i>
      <x v="7"/>
    </i>
    <i>
      <x v="8"/>
    </i>
    <i>
      <x v="9"/>
    </i>
    <i>
      <x v="10"/>
    </i>
    <i t="grand">
      <x/>
    </i>
  </rowItems>
  <colItems count="1">
    <i/>
  </colItems>
  <dataFields count="1">
    <dataField name="Count of Equipment" fld="0" subtotal="count"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_Country" xr10:uid="{472FFCC9-B871-44B3-94AA-357BC7556B56}" sourceName="Origin Country">
  <pivotTables>
    <pivotTable tabId="12" name="PivotTable11"/>
    <pivotTable tabId="11" name="PivotTable6"/>
    <pivotTable tabId="11" name="PivotTable7"/>
    <pivotTable tabId="11" name="PivotTable8"/>
  </pivotTables>
  <data>
    <tabular pivotCacheId="874451412">
      <items count="7">
        <i x="5" s="1"/>
        <i x="0" s="1"/>
        <i x="4" s="1"/>
        <i x="1" s="1"/>
        <i x="6"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F07E057-D0D5-40FF-A096-EC41FDACA4ED}" sourceName="Category">
  <pivotTables>
    <pivotTable tabId="12" name="PivotTable11"/>
    <pivotTable tabId="11" name="PivotTable6"/>
    <pivotTable tabId="11" name="PivotTable7"/>
    <pivotTable tabId="11" name="PivotTable8"/>
  </pivotTables>
  <data>
    <tabular pivotCacheId="874451412">
      <items count="11">
        <i x="7" s="1"/>
        <i x="1" s="1"/>
        <i x="9" s="1"/>
        <i x="4" s="1"/>
        <i x="10" s="1"/>
        <i x="5" s="1"/>
        <i x="3" s="1"/>
        <i x="8" s="1"/>
        <i x="2"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DA3A7EA-6063-4F0C-856F-409BEC84D8EA}" sourceName="Status">
  <pivotTables>
    <pivotTable tabId="12" name="PivotTable11"/>
    <pivotTable tabId="11" name="PivotTable6"/>
    <pivotTable tabId="11" name="PivotTable7"/>
    <pivotTable tabId="11" name="PivotTable8"/>
  </pivotTables>
  <data>
    <tabular pivotCacheId="87445141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igin Country" xr10:uid="{3365B13E-E96E-468F-9D57-EBF004F8F5AC}" cache="Slicer_Origin_Country" caption="Origin Country" startItem="2" style="SlicerStyleDark1" rowHeight="234950"/>
  <slicer name="Category" xr10:uid="{87BB4D12-51B5-4502-AFBE-819548ECF335}" cache="Slicer_Category" caption="Category" style="SlicerStyleDark1" rowHeight="234950"/>
  <slicer name="Status" xr10:uid="{37CD27DE-8B65-4BD6-8818-70A96570F1CB}" cache="Slicer_Status" caption="Status"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6AECF-5CB0-49DD-A887-524637EB64FE}">
  <dimension ref="A3:B11"/>
  <sheetViews>
    <sheetView workbookViewId="0">
      <selection activeCell="B8" sqref="B8"/>
    </sheetView>
  </sheetViews>
  <sheetFormatPr defaultRowHeight="14.4" x14ac:dyDescent="0.3"/>
  <cols>
    <col min="1" max="1" width="15.77734375" bestFit="1" customWidth="1"/>
    <col min="2" max="2" width="18.21875" bestFit="1" customWidth="1"/>
  </cols>
  <sheetData>
    <row r="3" spans="1:2" x14ac:dyDescent="0.3">
      <c r="A3" s="3" t="s">
        <v>36</v>
      </c>
      <c r="B3" t="s">
        <v>38</v>
      </c>
    </row>
    <row r="4" spans="1:2" x14ac:dyDescent="0.3">
      <c r="A4" s="4" t="s">
        <v>17</v>
      </c>
      <c r="B4">
        <v>1</v>
      </c>
    </row>
    <row r="5" spans="1:2" x14ac:dyDescent="0.3">
      <c r="A5" s="4" t="s">
        <v>21</v>
      </c>
      <c r="B5">
        <v>1</v>
      </c>
    </row>
    <row r="6" spans="1:2" x14ac:dyDescent="0.3">
      <c r="A6" s="4" t="s">
        <v>44</v>
      </c>
      <c r="B6">
        <v>1</v>
      </c>
    </row>
    <row r="7" spans="1:2" x14ac:dyDescent="0.3">
      <c r="A7" s="4" t="s">
        <v>23</v>
      </c>
      <c r="B7">
        <v>1</v>
      </c>
    </row>
    <row r="8" spans="1:2" x14ac:dyDescent="0.3">
      <c r="A8" s="4" t="s">
        <v>10</v>
      </c>
      <c r="B8">
        <v>3</v>
      </c>
    </row>
    <row r="9" spans="1:2" x14ac:dyDescent="0.3">
      <c r="A9" s="4" t="s">
        <v>25</v>
      </c>
      <c r="B9">
        <v>3</v>
      </c>
    </row>
    <row r="10" spans="1:2" x14ac:dyDescent="0.3">
      <c r="A10" s="4" t="s">
        <v>13</v>
      </c>
      <c r="B10">
        <v>9</v>
      </c>
    </row>
    <row r="11" spans="1:2" x14ac:dyDescent="0.3">
      <c r="A11" s="4" t="s">
        <v>37</v>
      </c>
      <c r="B11">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8E85-CB36-4C54-A57C-E45F3430C9C8}">
  <dimension ref="A1:H20"/>
  <sheetViews>
    <sheetView topLeftCell="C1" workbookViewId="0">
      <selection activeCell="C1" sqref="C1"/>
    </sheetView>
  </sheetViews>
  <sheetFormatPr defaultRowHeight="14.4" x14ac:dyDescent="0.3"/>
  <cols>
    <col min="1" max="1" width="21.21875" customWidth="1"/>
    <col min="2" max="2" width="26" customWidth="1"/>
    <col min="3" max="3" width="24.109375" customWidth="1"/>
    <col min="4" max="4" width="38.5546875" customWidth="1"/>
    <col min="5" max="5" width="17.6640625" customWidth="1"/>
    <col min="6" max="6" width="28.44140625" customWidth="1"/>
    <col min="7" max="7" width="37.109375" customWidth="1"/>
    <col min="8" max="8" width="46.5546875" customWidth="1"/>
  </cols>
  <sheetData>
    <row r="1" spans="1:8" ht="43.2" x14ac:dyDescent="0.3">
      <c r="A1" s="1" t="s">
        <v>0</v>
      </c>
      <c r="B1" s="1" t="s">
        <v>1</v>
      </c>
      <c r="C1" s="1" t="s">
        <v>2</v>
      </c>
      <c r="D1" s="1" t="s">
        <v>3</v>
      </c>
      <c r="E1" s="1" t="s">
        <v>39</v>
      </c>
      <c r="F1" s="1" t="s">
        <v>5</v>
      </c>
      <c r="G1" s="1" t="s">
        <v>4</v>
      </c>
      <c r="H1" s="1" t="s">
        <v>6</v>
      </c>
    </row>
    <row r="2" spans="1:8" ht="28.8" x14ac:dyDescent="0.3">
      <c r="A2" s="2" t="s">
        <v>12</v>
      </c>
      <c r="B2" s="2" t="s">
        <v>8</v>
      </c>
      <c r="C2" s="2" t="s">
        <v>9</v>
      </c>
      <c r="D2" s="2" t="s">
        <v>13</v>
      </c>
      <c r="E2" s="2" t="s">
        <v>40</v>
      </c>
      <c r="F2" s="2">
        <v>118</v>
      </c>
      <c r="G2" s="2">
        <v>2021</v>
      </c>
      <c r="H2" s="2" t="s">
        <v>11</v>
      </c>
    </row>
    <row r="3" spans="1:8" ht="28.8" x14ac:dyDescent="0.3">
      <c r="A3" s="2" t="s">
        <v>7</v>
      </c>
      <c r="B3" s="2" t="s">
        <v>8</v>
      </c>
      <c r="C3" s="2" t="s">
        <v>9</v>
      </c>
      <c r="D3" s="2" t="s">
        <v>10</v>
      </c>
      <c r="E3" s="2" t="s">
        <v>41</v>
      </c>
      <c r="F3" s="2">
        <v>1657</v>
      </c>
      <c r="G3" s="2">
        <v>2001</v>
      </c>
      <c r="H3" s="2" t="s">
        <v>11</v>
      </c>
    </row>
    <row r="4" spans="1:8" ht="28.8" x14ac:dyDescent="0.3">
      <c r="A4" s="2" t="s">
        <v>42</v>
      </c>
      <c r="B4" s="2" t="s">
        <v>8</v>
      </c>
      <c r="C4" s="2" t="s">
        <v>9</v>
      </c>
      <c r="D4" s="2" t="s">
        <v>10</v>
      </c>
      <c r="E4" s="2" t="s">
        <v>41</v>
      </c>
      <c r="F4" s="2">
        <v>2418</v>
      </c>
      <c r="G4" s="2">
        <v>1979</v>
      </c>
      <c r="H4" s="2" t="s">
        <v>11</v>
      </c>
    </row>
    <row r="5" spans="1:8" ht="43.2" x14ac:dyDescent="0.3">
      <c r="A5" s="2" t="s">
        <v>14</v>
      </c>
      <c r="B5" s="2" t="s">
        <v>8</v>
      </c>
      <c r="C5" s="2" t="s">
        <v>43</v>
      </c>
      <c r="D5" s="2" t="s">
        <v>44</v>
      </c>
      <c r="E5" s="2" t="s">
        <v>45</v>
      </c>
      <c r="F5" s="2">
        <v>100</v>
      </c>
      <c r="G5" s="2">
        <v>2018</v>
      </c>
      <c r="H5" s="2" t="s">
        <v>11</v>
      </c>
    </row>
    <row r="6" spans="1:8" x14ac:dyDescent="0.3">
      <c r="A6" s="2" t="s">
        <v>46</v>
      </c>
      <c r="B6" s="2" t="s">
        <v>8</v>
      </c>
      <c r="C6" s="2" t="s">
        <v>43</v>
      </c>
      <c r="D6" s="2" t="s">
        <v>25</v>
      </c>
      <c r="E6" s="2" t="s">
        <v>41</v>
      </c>
      <c r="F6" s="2">
        <v>145</v>
      </c>
      <c r="G6" s="2">
        <v>2017</v>
      </c>
      <c r="H6" s="2" t="s">
        <v>11</v>
      </c>
    </row>
    <row r="7" spans="1:8" x14ac:dyDescent="0.3">
      <c r="A7" s="2" t="s">
        <v>47</v>
      </c>
      <c r="B7" s="2" t="s">
        <v>8</v>
      </c>
      <c r="C7" s="2" t="s">
        <v>43</v>
      </c>
      <c r="D7" s="2" t="s">
        <v>13</v>
      </c>
      <c r="E7" s="2" t="s">
        <v>40</v>
      </c>
      <c r="F7" s="2">
        <v>300</v>
      </c>
      <c r="G7" s="2">
        <v>2025</v>
      </c>
      <c r="H7" s="2" t="s">
        <v>48</v>
      </c>
    </row>
    <row r="8" spans="1:8" ht="28.8" x14ac:dyDescent="0.3">
      <c r="A8" s="2" t="s">
        <v>19</v>
      </c>
      <c r="B8" s="2" t="s">
        <v>8</v>
      </c>
      <c r="C8" s="2" t="s">
        <v>49</v>
      </c>
      <c r="D8" s="2" t="s">
        <v>13</v>
      </c>
      <c r="E8" s="2" t="s">
        <v>40</v>
      </c>
      <c r="F8" s="2" t="s">
        <v>50</v>
      </c>
      <c r="G8" s="2">
        <v>1998</v>
      </c>
      <c r="H8" s="2" t="s">
        <v>11</v>
      </c>
    </row>
    <row r="9" spans="1:8" ht="28.8" x14ac:dyDescent="0.3">
      <c r="A9" s="2" t="s">
        <v>15</v>
      </c>
      <c r="B9" s="2" t="s">
        <v>51</v>
      </c>
      <c r="C9" s="2" t="s">
        <v>16</v>
      </c>
      <c r="D9" s="2" t="s">
        <v>17</v>
      </c>
      <c r="E9" s="2" t="s">
        <v>45</v>
      </c>
      <c r="F9" s="2" t="s">
        <v>18</v>
      </c>
      <c r="G9" s="2">
        <v>2007</v>
      </c>
      <c r="H9" s="2" t="s">
        <v>11</v>
      </c>
    </row>
    <row r="10" spans="1:8" x14ac:dyDescent="0.3">
      <c r="A10" s="2" t="s">
        <v>24</v>
      </c>
      <c r="B10" s="2" t="s">
        <v>20</v>
      </c>
      <c r="C10" s="2" t="s">
        <v>52</v>
      </c>
      <c r="D10" s="2" t="s">
        <v>13</v>
      </c>
      <c r="E10" s="2" t="s">
        <v>40</v>
      </c>
      <c r="F10" s="2">
        <v>40</v>
      </c>
      <c r="G10" s="2">
        <v>2016</v>
      </c>
      <c r="H10" s="2" t="s">
        <v>11</v>
      </c>
    </row>
    <row r="11" spans="1:8" x14ac:dyDescent="0.3">
      <c r="A11" s="2" t="s">
        <v>53</v>
      </c>
      <c r="B11" s="2" t="s">
        <v>20</v>
      </c>
      <c r="C11" s="2" t="s">
        <v>52</v>
      </c>
      <c r="D11" s="2" t="s">
        <v>13</v>
      </c>
      <c r="E11" s="2" t="s">
        <v>40</v>
      </c>
      <c r="F11" s="2">
        <v>83</v>
      </c>
      <c r="G11" s="2">
        <v>2025</v>
      </c>
      <c r="H11" s="2" t="s">
        <v>48</v>
      </c>
    </row>
    <row r="12" spans="1:8" x14ac:dyDescent="0.3">
      <c r="A12" s="2" t="s">
        <v>54</v>
      </c>
      <c r="B12" s="2" t="s">
        <v>20</v>
      </c>
      <c r="C12" s="2" t="s">
        <v>52</v>
      </c>
      <c r="D12" s="2" t="s">
        <v>21</v>
      </c>
      <c r="E12" s="2" t="s">
        <v>41</v>
      </c>
      <c r="F12" s="2">
        <v>36</v>
      </c>
      <c r="G12" s="2">
        <v>2020</v>
      </c>
      <c r="H12" s="2" t="s">
        <v>11</v>
      </c>
    </row>
    <row r="13" spans="1:8" x14ac:dyDescent="0.3">
      <c r="A13" s="2" t="s">
        <v>22</v>
      </c>
      <c r="B13" s="2" t="s">
        <v>20</v>
      </c>
      <c r="C13" s="2" t="s">
        <v>52</v>
      </c>
      <c r="D13" s="2" t="s">
        <v>23</v>
      </c>
      <c r="E13" s="2" t="s">
        <v>45</v>
      </c>
      <c r="F13" s="2">
        <v>272</v>
      </c>
      <c r="G13" s="2">
        <v>2002</v>
      </c>
      <c r="H13" s="2" t="s">
        <v>11</v>
      </c>
    </row>
    <row r="14" spans="1:8" x14ac:dyDescent="0.3">
      <c r="A14" s="2" t="s">
        <v>55</v>
      </c>
      <c r="B14" s="2" t="s">
        <v>20</v>
      </c>
      <c r="C14" s="2" t="s">
        <v>56</v>
      </c>
      <c r="D14" s="2" t="s">
        <v>25</v>
      </c>
      <c r="E14" s="2" t="s">
        <v>41</v>
      </c>
      <c r="F14" s="2">
        <v>22</v>
      </c>
      <c r="G14" s="2">
        <v>2019</v>
      </c>
      <c r="H14" s="2" t="s">
        <v>11</v>
      </c>
    </row>
    <row r="15" spans="1:8" x14ac:dyDescent="0.3">
      <c r="A15" s="2" t="s">
        <v>57</v>
      </c>
      <c r="B15" s="2" t="s">
        <v>20</v>
      </c>
      <c r="C15" s="2" t="s">
        <v>58</v>
      </c>
      <c r="D15" s="2" t="s">
        <v>25</v>
      </c>
      <c r="E15" s="2" t="s">
        <v>41</v>
      </c>
      <c r="F15" s="2">
        <v>11</v>
      </c>
      <c r="G15" s="2">
        <v>2013</v>
      </c>
      <c r="H15" s="2" t="s">
        <v>11</v>
      </c>
    </row>
    <row r="16" spans="1:8" x14ac:dyDescent="0.3">
      <c r="A16" s="2" t="s">
        <v>26</v>
      </c>
      <c r="B16" s="2" t="s">
        <v>27</v>
      </c>
      <c r="C16" s="2" t="s">
        <v>28</v>
      </c>
      <c r="D16" s="2" t="s">
        <v>13</v>
      </c>
      <c r="E16" s="2" t="s">
        <v>40</v>
      </c>
      <c r="F16" s="2">
        <v>1</v>
      </c>
      <c r="G16" s="2">
        <v>2022</v>
      </c>
      <c r="H16" s="2" t="s">
        <v>11</v>
      </c>
    </row>
    <row r="17" spans="1:8" x14ac:dyDescent="0.3">
      <c r="A17" s="2" t="s">
        <v>29</v>
      </c>
      <c r="B17" s="2" t="s">
        <v>27</v>
      </c>
      <c r="C17" s="2" t="s">
        <v>28</v>
      </c>
      <c r="D17" s="2" t="s">
        <v>10</v>
      </c>
      <c r="E17" s="2" t="s">
        <v>41</v>
      </c>
      <c r="F17" s="2">
        <v>1</v>
      </c>
      <c r="G17" s="2">
        <v>2013</v>
      </c>
      <c r="H17" s="2" t="s">
        <v>11</v>
      </c>
    </row>
    <row r="18" spans="1:8" x14ac:dyDescent="0.3">
      <c r="A18" s="2" t="s">
        <v>34</v>
      </c>
      <c r="B18" s="2" t="s">
        <v>27</v>
      </c>
      <c r="C18" s="2" t="s">
        <v>35</v>
      </c>
      <c r="D18" s="2" t="s">
        <v>13</v>
      </c>
      <c r="E18" s="2" t="s">
        <v>40</v>
      </c>
      <c r="F18" s="2">
        <v>2</v>
      </c>
      <c r="G18" s="2">
        <v>2016</v>
      </c>
      <c r="H18" s="2" t="s">
        <v>11</v>
      </c>
    </row>
    <row r="19" spans="1:8" x14ac:dyDescent="0.3">
      <c r="A19" s="2" t="s">
        <v>30</v>
      </c>
      <c r="B19" s="2" t="s">
        <v>27</v>
      </c>
      <c r="C19" s="2" t="s">
        <v>31</v>
      </c>
      <c r="D19" s="2" t="s">
        <v>13</v>
      </c>
      <c r="E19" s="2" t="s">
        <v>40</v>
      </c>
      <c r="F19" s="2">
        <v>3</v>
      </c>
      <c r="G19" s="2">
        <v>2014</v>
      </c>
      <c r="H19" s="2" t="s">
        <v>11</v>
      </c>
    </row>
    <row r="20" spans="1:8" x14ac:dyDescent="0.3">
      <c r="A20" s="2" t="s">
        <v>32</v>
      </c>
      <c r="B20" s="2" t="s">
        <v>27</v>
      </c>
      <c r="C20" s="2" t="s">
        <v>33</v>
      </c>
      <c r="D20" s="2" t="s">
        <v>13</v>
      </c>
      <c r="E20" s="2" t="s">
        <v>40</v>
      </c>
      <c r="F20" s="2">
        <v>3</v>
      </c>
      <c r="G20" s="2">
        <v>2010</v>
      </c>
      <c r="H20" s="2"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B1C40-EB4B-49A4-8274-9338C7F9E2DA}">
  <dimension ref="A3:E22"/>
  <sheetViews>
    <sheetView workbookViewId="0">
      <selection activeCell="I17" sqref="I17"/>
    </sheetView>
  </sheetViews>
  <sheetFormatPr defaultRowHeight="14.4" x14ac:dyDescent="0.3"/>
  <cols>
    <col min="1" max="2" width="12.5546875" bestFit="1" customWidth="1"/>
    <col min="3" max="3" width="14.109375" bestFit="1" customWidth="1"/>
    <col min="4" max="4" width="16.44140625" bestFit="1" customWidth="1"/>
    <col min="5" max="5" width="18.21875" bestFit="1" customWidth="1"/>
    <col min="6" max="6" width="6.21875" bestFit="1" customWidth="1"/>
    <col min="7" max="7" width="4.5546875" bestFit="1" customWidth="1"/>
    <col min="8" max="8" width="5.21875" bestFit="1" customWidth="1"/>
    <col min="9" max="9" width="10.77734375" bestFit="1" customWidth="1"/>
  </cols>
  <sheetData>
    <row r="3" spans="1:5" x14ac:dyDescent="0.3">
      <c r="A3" s="3" t="s">
        <v>36</v>
      </c>
      <c r="B3" t="s">
        <v>38</v>
      </c>
    </row>
    <row r="4" spans="1:5" x14ac:dyDescent="0.3">
      <c r="A4" s="4">
        <v>2010</v>
      </c>
      <c r="B4">
        <v>1</v>
      </c>
      <c r="D4" s="3" t="s">
        <v>36</v>
      </c>
      <c r="E4" t="s">
        <v>38</v>
      </c>
    </row>
    <row r="5" spans="1:5" x14ac:dyDescent="0.3">
      <c r="A5" s="4">
        <v>2013</v>
      </c>
      <c r="B5">
        <v>2</v>
      </c>
      <c r="D5" s="4" t="s">
        <v>28</v>
      </c>
      <c r="E5">
        <v>2</v>
      </c>
    </row>
    <row r="6" spans="1:5" x14ac:dyDescent="0.3">
      <c r="A6" s="4">
        <v>2014</v>
      </c>
      <c r="B6">
        <v>1</v>
      </c>
      <c r="D6" s="4" t="s">
        <v>43</v>
      </c>
      <c r="E6">
        <v>3</v>
      </c>
    </row>
    <row r="7" spans="1:5" x14ac:dyDescent="0.3">
      <c r="A7" s="4">
        <v>2016</v>
      </c>
      <c r="B7">
        <v>2</v>
      </c>
      <c r="D7" s="4" t="s">
        <v>31</v>
      </c>
      <c r="E7">
        <v>1</v>
      </c>
    </row>
    <row r="8" spans="1:5" x14ac:dyDescent="0.3">
      <c r="A8" s="4">
        <v>2017</v>
      </c>
      <c r="B8">
        <v>1</v>
      </c>
      <c r="D8" s="4" t="s">
        <v>52</v>
      </c>
      <c r="E8">
        <v>4</v>
      </c>
    </row>
    <row r="9" spans="1:5" x14ac:dyDescent="0.3">
      <c r="A9" s="4">
        <v>2018</v>
      </c>
      <c r="B9">
        <v>1</v>
      </c>
      <c r="D9" s="4" t="s">
        <v>33</v>
      </c>
      <c r="E9">
        <v>1</v>
      </c>
    </row>
    <row r="10" spans="1:5" x14ac:dyDescent="0.3">
      <c r="A10" s="4">
        <v>2019</v>
      </c>
      <c r="B10">
        <v>1</v>
      </c>
      <c r="D10" s="4" t="s">
        <v>56</v>
      </c>
      <c r="E10">
        <v>1</v>
      </c>
    </row>
    <row r="11" spans="1:5" x14ac:dyDescent="0.3">
      <c r="A11" s="4">
        <v>2020</v>
      </c>
      <c r="B11">
        <v>1</v>
      </c>
      <c r="D11" s="4" t="s">
        <v>16</v>
      </c>
      <c r="E11">
        <v>1</v>
      </c>
    </row>
    <row r="12" spans="1:5" x14ac:dyDescent="0.3">
      <c r="A12" s="4">
        <v>2021</v>
      </c>
      <c r="B12">
        <v>1</v>
      </c>
      <c r="D12" s="4" t="s">
        <v>35</v>
      </c>
      <c r="E12">
        <v>1</v>
      </c>
    </row>
    <row r="13" spans="1:5" x14ac:dyDescent="0.3">
      <c r="A13" s="4">
        <v>2022</v>
      </c>
      <c r="B13">
        <v>1</v>
      </c>
      <c r="D13" s="4" t="s">
        <v>49</v>
      </c>
      <c r="E13">
        <v>1</v>
      </c>
    </row>
    <row r="14" spans="1:5" x14ac:dyDescent="0.3">
      <c r="A14" s="4">
        <v>2025</v>
      </c>
      <c r="B14">
        <v>2</v>
      </c>
      <c r="D14" s="4" t="s">
        <v>9</v>
      </c>
      <c r="E14">
        <v>3</v>
      </c>
    </row>
    <row r="15" spans="1:5" x14ac:dyDescent="0.3">
      <c r="A15" s="4" t="s">
        <v>37</v>
      </c>
      <c r="B15">
        <v>14</v>
      </c>
      <c r="D15" s="4" t="s">
        <v>58</v>
      </c>
      <c r="E15">
        <v>1</v>
      </c>
    </row>
    <row r="16" spans="1:5" x14ac:dyDescent="0.3">
      <c r="D16" s="4" t="s">
        <v>37</v>
      </c>
      <c r="E16">
        <v>19</v>
      </c>
    </row>
    <row r="19" spans="2:5" x14ac:dyDescent="0.3">
      <c r="B19" s="3" t="s">
        <v>36</v>
      </c>
      <c r="C19" t="s">
        <v>62</v>
      </c>
    </row>
    <row r="20" spans="2:5" x14ac:dyDescent="0.3">
      <c r="B20" s="4" t="s">
        <v>11</v>
      </c>
      <c r="C20">
        <v>17</v>
      </c>
      <c r="E20" t="s">
        <v>11</v>
      </c>
    </row>
    <row r="21" spans="2:5" x14ac:dyDescent="0.3">
      <c r="B21" s="4" t="s">
        <v>48</v>
      </c>
      <c r="C21">
        <v>2</v>
      </c>
    </row>
    <row r="22" spans="2:5" x14ac:dyDescent="0.3">
      <c r="B22" s="4" t="s">
        <v>37</v>
      </c>
      <c r="C22">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3B2F1-6AB1-4165-BBA6-065D767BD7FD}">
  <dimension ref="B5:N22"/>
  <sheetViews>
    <sheetView workbookViewId="0">
      <selection activeCell="D22" sqref="D22"/>
    </sheetView>
  </sheetViews>
  <sheetFormatPr defaultRowHeight="14.4" x14ac:dyDescent="0.3"/>
  <cols>
    <col min="2" max="2" width="16.44140625" bestFit="1" customWidth="1"/>
    <col min="3" max="3" width="11.77734375" customWidth="1"/>
    <col min="5" max="5" width="17.21875" customWidth="1"/>
    <col min="6" max="6" width="12.5546875" customWidth="1"/>
    <col min="7" max="7" width="16.44140625" hidden="1" customWidth="1"/>
    <col min="8" max="8" width="14.33203125" hidden="1" customWidth="1"/>
  </cols>
  <sheetData>
    <row r="5" spans="2:14" x14ac:dyDescent="0.3">
      <c r="H5" t="s">
        <v>61</v>
      </c>
    </row>
    <row r="6" spans="2:14" x14ac:dyDescent="0.3">
      <c r="B6" t="s">
        <v>59</v>
      </c>
      <c r="C6" t="s">
        <v>60</v>
      </c>
      <c r="G6" t="str" cm="1">
        <f t="array" ref="G6:G16">_xlfn.UNIQUE('working sheet'!C2:C20)</f>
        <v>Tank</v>
      </c>
      <c r="H6">
        <f>COUNTIFS('working sheet'!C2:C20, validaton!G6)</f>
        <v>3</v>
      </c>
    </row>
    <row r="7" spans="2:14" x14ac:dyDescent="0.3">
      <c r="B7" t="str" cm="1">
        <f t="array" ref="B7:B16">G7:G16</f>
        <v>Artillery</v>
      </c>
      <c r="C7" cm="1">
        <f t="array" ref="C7:C17">H6:H16</f>
        <v>3</v>
      </c>
      <c r="E7" t="str" cm="1">
        <f t="array" ref="E7:F17">_xlfn._xlws.SORT(B7:C17,2,-1)</f>
        <v>Helicopter</v>
      </c>
      <c r="F7">
        <v>4</v>
      </c>
      <c r="G7" t="str">
        <v>Artillery</v>
      </c>
      <c r="H7">
        <f>COUNTIFS('working sheet'!C3:C21, validaton!G7)</f>
        <v>3</v>
      </c>
    </row>
    <row r="8" spans="2:14" x14ac:dyDescent="0.3">
      <c r="B8" t="str">
        <v>Rocket System</v>
      </c>
      <c r="C8">
        <v>3</v>
      </c>
      <c r="E8" t="str">
        <v>Artillery</v>
      </c>
      <c r="F8">
        <v>3</v>
      </c>
      <c r="G8" t="str">
        <v>Rocket System</v>
      </c>
      <c r="H8">
        <f>COUNTIFS('working sheet'!C4:C22, validaton!G8)</f>
        <v>1</v>
      </c>
      <c r="N8" t="e" cm="1">
        <f t="array" ref="N8">cou</f>
        <v>#NAME?</v>
      </c>
    </row>
    <row r="9" spans="2:14" x14ac:dyDescent="0.3">
      <c r="B9" t="str">
        <v>Missile</v>
      </c>
      <c r="C9">
        <v>1</v>
      </c>
      <c r="E9" t="str">
        <v>Rocket System</v>
      </c>
      <c r="F9">
        <v>3</v>
      </c>
      <c r="G9" t="str">
        <v>Missile</v>
      </c>
      <c r="H9">
        <f>COUNTIFS('working sheet'!C5:C23, validaton!G9)</f>
        <v>1</v>
      </c>
    </row>
    <row r="10" spans="2:14" x14ac:dyDescent="0.3">
      <c r="B10" t="str">
        <v>Fighter</v>
      </c>
      <c r="C10">
        <v>1</v>
      </c>
      <c r="E10" t="str">
        <v>Nuclear Submarine</v>
      </c>
      <c r="F10">
        <v>2</v>
      </c>
      <c r="G10" t="str">
        <v>Fighter</v>
      </c>
      <c r="H10">
        <f>COUNTIFS('working sheet'!C6:C24, validaton!G10)</f>
        <v>4</v>
      </c>
    </row>
    <row r="11" spans="2:14" x14ac:dyDescent="0.3">
      <c r="B11" t="str">
        <v>Helicopter</v>
      </c>
      <c r="C11">
        <v>4</v>
      </c>
      <c r="E11" t="str">
        <v>Missile</v>
      </c>
      <c r="F11">
        <v>1</v>
      </c>
      <c r="G11" t="str">
        <v>Helicopter</v>
      </c>
      <c r="H11">
        <f>COUNTIFS('working sheet'!C7:C25, validaton!G11)</f>
        <v>1</v>
      </c>
    </row>
    <row r="12" spans="2:14" x14ac:dyDescent="0.3">
      <c r="B12" t="str">
        <v>Transport</v>
      </c>
      <c r="C12">
        <v>1</v>
      </c>
      <c r="E12" t="str">
        <v>Fighter</v>
      </c>
      <c r="F12">
        <v>1</v>
      </c>
      <c r="G12" t="str">
        <v>Transport</v>
      </c>
      <c r="H12">
        <f>COUNTIFS('working sheet'!C8:C26, validaton!G12)</f>
        <v>1</v>
      </c>
    </row>
    <row r="13" spans="2:14" x14ac:dyDescent="0.3">
      <c r="B13" t="str">
        <v>Aircraft Carrier</v>
      </c>
      <c r="C13">
        <v>1</v>
      </c>
      <c r="E13" t="str">
        <v>Transport</v>
      </c>
      <c r="F13">
        <v>1</v>
      </c>
      <c r="G13" t="str">
        <v>Aircraft Carrier</v>
      </c>
      <c r="H13">
        <f>COUNTIFS('working sheet'!C9:C27, validaton!G13)</f>
        <v>2</v>
      </c>
    </row>
    <row r="14" spans="2:14" x14ac:dyDescent="0.3">
      <c r="B14" t="str">
        <v>Nuclear Submarine</v>
      </c>
      <c r="C14">
        <v>2</v>
      </c>
      <c r="E14" t="str">
        <v>Aircraft Carrier</v>
      </c>
      <c r="F14">
        <v>1</v>
      </c>
      <c r="G14" t="str">
        <v>Nuclear Submarine</v>
      </c>
      <c r="H14">
        <f>COUNTIFS('working sheet'!C10:C28, validaton!G14)</f>
        <v>1</v>
      </c>
    </row>
    <row r="15" spans="2:14" x14ac:dyDescent="0.3">
      <c r="B15" t="str">
        <v>Destroyer</v>
      </c>
      <c r="C15">
        <v>1</v>
      </c>
      <c r="E15" t="str">
        <v>Destroyer</v>
      </c>
      <c r="F15">
        <v>1</v>
      </c>
      <c r="G15" t="str">
        <v>Destroyer</v>
      </c>
      <c r="H15">
        <f>COUNTIFS('working sheet'!C11:C29, validaton!G15)</f>
        <v>1</v>
      </c>
    </row>
    <row r="16" spans="2:14" x14ac:dyDescent="0.3">
      <c r="B16" t="str">
        <v>Frigate</v>
      </c>
      <c r="C16">
        <v>1</v>
      </c>
      <c r="E16" t="str">
        <v>Frigate</v>
      </c>
      <c r="F16">
        <v>1</v>
      </c>
      <c r="G16" t="str">
        <v>Frigate</v>
      </c>
      <c r="H16">
        <f>COUNTIFS('working sheet'!C12:C30, validaton!G16)</f>
        <v>1</v>
      </c>
      <c r="K16" t="s">
        <v>63</v>
      </c>
      <c r="L16" t="s">
        <v>64</v>
      </c>
    </row>
    <row r="17" spans="2:12" x14ac:dyDescent="0.3">
      <c r="C17">
        <v>1</v>
      </c>
      <c r="E17">
        <v>0</v>
      </c>
      <c r="F17">
        <v>1</v>
      </c>
      <c r="K17" t="str" cm="1">
        <f t="array" ref="K17:K19">_xlfn.UNIQUE('working sheet'!E2:E20)</f>
        <v>Yes</v>
      </c>
      <c r="L17">
        <f>COUNTIFS('working sheet'!E2:E20,validaton!K17)</f>
        <v>9</v>
      </c>
    </row>
    <row r="18" spans="2:12" x14ac:dyDescent="0.3">
      <c r="B18">
        <f>COUNT(_xlfn.ANCHORARRAY(B7))</f>
        <v>0</v>
      </c>
      <c r="K18" t="str">
        <v>No</v>
      </c>
      <c r="L18">
        <f>COUNTIFS('working sheet'!E3:E21,validaton!K18)</f>
        <v>7</v>
      </c>
    </row>
    <row r="19" spans="2:12" x14ac:dyDescent="0.3">
      <c r="K19" t="str">
        <v>Partial</v>
      </c>
      <c r="L19">
        <f>COUNTIFS('working sheet'!E4:E22,validaton!K19)</f>
        <v>3</v>
      </c>
    </row>
    <row r="22" spans="2:12" x14ac:dyDescent="0.3">
      <c r="C22" t="s">
        <v>66</v>
      </c>
      <c r="D22">
        <f>COUNTIF('working sheet'!H2:H20,validaton!C22)</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DC7CE-FA5D-4EEB-AD9D-A27DB63564FA}">
  <dimension ref="A1:AR3"/>
  <sheetViews>
    <sheetView showGridLines="0" tabSelected="1" zoomScale="85" workbookViewId="0">
      <selection activeCell="A4" sqref="A4"/>
    </sheetView>
  </sheetViews>
  <sheetFormatPr defaultRowHeight="14.4" x14ac:dyDescent="0.3"/>
  <sheetData>
    <row r="1" spans="1:44" x14ac:dyDescent="0.3">
      <c r="A1" s="5" t="s">
        <v>67</v>
      </c>
      <c r="B1" s="6"/>
      <c r="C1" s="6"/>
      <c r="D1" s="6"/>
      <c r="E1" s="6"/>
      <c r="F1" s="6"/>
      <c r="G1" s="6"/>
      <c r="H1" s="6"/>
      <c r="I1" s="6"/>
      <c r="J1" s="6"/>
      <c r="K1" s="6"/>
      <c r="L1" s="6"/>
      <c r="M1" s="6"/>
      <c r="N1" s="6"/>
      <c r="O1" s="6"/>
      <c r="P1" s="6"/>
      <c r="Q1" s="6"/>
      <c r="R1" s="6"/>
      <c r="S1" s="6"/>
      <c r="T1" s="6"/>
      <c r="U1" s="6"/>
      <c r="V1" s="6"/>
      <c r="W1" s="5" t="s">
        <v>65</v>
      </c>
      <c r="X1" s="6"/>
      <c r="Y1" s="6"/>
      <c r="Z1" s="6"/>
      <c r="AA1" s="6"/>
      <c r="AB1" s="6"/>
      <c r="AC1" s="6"/>
      <c r="AD1" s="6"/>
      <c r="AE1" s="6"/>
      <c r="AF1" s="6"/>
      <c r="AG1" s="6"/>
      <c r="AH1" s="6"/>
      <c r="AI1" s="6"/>
      <c r="AJ1" s="6"/>
      <c r="AK1" s="6"/>
      <c r="AL1" s="6"/>
      <c r="AM1" s="6"/>
      <c r="AN1" s="6"/>
      <c r="AO1" s="6"/>
      <c r="AP1" s="6"/>
      <c r="AQ1" s="6"/>
      <c r="AR1" s="6"/>
    </row>
    <row r="2" spans="1:44"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row>
    <row r="3" spans="1:44"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row>
  </sheetData>
  <mergeCells count="2">
    <mergeCell ref="A1:V3"/>
    <mergeCell ref="W1:A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Sheet11</vt:lpstr>
      <vt:lpstr>working sheet</vt:lpstr>
      <vt:lpstr>pivot</vt:lpstr>
      <vt:lpstr>validaton</vt:lpstr>
      <vt:lpstr>Dashbard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Rina Joshi</dc:creator>
  <cp:lastModifiedBy>Rina Joshi</cp:lastModifiedBy>
  <dcterms:created xsi:type="dcterms:W3CDTF">2026-05-27T12:59:11Z</dcterms:created>
  <dcterms:modified xsi:type="dcterms:W3CDTF">2026-05-27T17:30:13Z</dcterms:modified>
</cp:coreProperties>
</file>