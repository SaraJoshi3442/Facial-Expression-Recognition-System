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nnej\OneDrive\Desktop\Projects\"/>
    </mc:Choice>
  </mc:AlternateContent>
  <xr:revisionPtr revIDLastSave="0" documentId="13_ncr:1_{D9662BDD-7C19-4363-9127-80B37312E7E8}" xr6:coauthVersionLast="47" xr6:coauthVersionMax="47" xr10:uidLastSave="{00000000-0000-0000-0000-000000000000}"/>
  <bookViews>
    <workbookView xWindow="-108" yWindow="-108" windowWidth="23256" windowHeight="13896" activeTab="3" xr2:uid="{00000000-000D-0000-FFFF-FFFF00000000}"/>
  </bookViews>
  <sheets>
    <sheet name="working sheet" sheetId="1" r:id="rId1"/>
    <sheet name="Sheet7" sheetId="8" r:id="rId2"/>
    <sheet name="charts" sheetId="3" r:id="rId3"/>
    <sheet name="dashboard" sheetId="9" r:id="rId4"/>
  </sheets>
  <definedNames>
    <definedName name="Slicer_Conflict">#N/A</definedName>
    <definedName name="Slicer_Region">#N/A</definedName>
    <definedName name="Slicer_Year">#N/A</definedName>
  </definedNames>
  <calcPr calcId="191029"/>
  <pivotCaches>
    <pivotCache cacheId="19" r:id="rId5"/>
    <pivotCache cacheId="2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N2" i="1"/>
  <c r="M2"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<sst xmlns="http://schemas.openxmlformats.org/spreadsheetml/2006/main" count="1240" uniqueCount="53">
  <si>
    <t>Date</t>
  </si>
  <si>
    <t>Year</t>
  </si>
  <si>
    <t>Month</t>
  </si>
  <si>
    <t>Conflict</t>
  </si>
  <si>
    <t>Region</t>
  </si>
  <si>
    <t>Military_Spending_MUSD</t>
  </si>
  <si>
    <t>Civilian_Casualties</t>
  </si>
  <si>
    <t>Military_Casualties</t>
  </si>
  <si>
    <t>Refugees_Displaced</t>
  </si>
  <si>
    <t>Foreign_Aid_MUSD</t>
  </si>
  <si>
    <t>Jan</t>
  </si>
  <si>
    <t>Russia-Ukraine War</t>
  </si>
  <si>
    <t>Europe</t>
  </si>
  <si>
    <t>Israel-Hamas War</t>
  </si>
  <si>
    <t>Middle East</t>
  </si>
  <si>
    <t>Sudan Conflict</t>
  </si>
  <si>
    <t>Africa</t>
  </si>
  <si>
    <t>Yemen Conflict</t>
  </si>
  <si>
    <t>Myanmar Conflict</t>
  </si>
  <si>
    <t>Asia</t>
  </si>
  <si>
    <t>Syria Conflict</t>
  </si>
  <si>
    <t>South China Sea Tension</t>
  </si>
  <si>
    <t>Taiwan Strait Tension</t>
  </si>
  <si>
    <t>Feb</t>
  </si>
  <si>
    <t>Mar</t>
  </si>
  <si>
    <t>Apr</t>
  </si>
  <si>
    <t>May</t>
  </si>
  <si>
    <t>Jun</t>
  </si>
  <si>
    <t>Jul</t>
  </si>
  <si>
    <t>Aug</t>
  </si>
  <si>
    <t>Sep</t>
  </si>
  <si>
    <t>Oct</t>
  </si>
  <si>
    <t>Nov</t>
  </si>
  <si>
    <t>Dec</t>
  </si>
  <si>
    <t>Grand Total</t>
  </si>
  <si>
    <t>Row Labels</t>
  </si>
  <si>
    <t>2022</t>
  </si>
  <si>
    <t>2023</t>
  </si>
  <si>
    <t>2024</t>
  </si>
  <si>
    <t>2025</t>
  </si>
  <si>
    <t>Sum of Military_Spending_MUSD</t>
  </si>
  <si>
    <t>Sum of Refugees_Displaced</t>
  </si>
  <si>
    <t>Sum of Military_Casualties</t>
  </si>
  <si>
    <t>Sum of Civilian_Casualties</t>
  </si>
  <si>
    <t>Total_casulties</t>
  </si>
  <si>
    <t>Sum of Total_casulties</t>
  </si>
  <si>
    <t>Sum of Foreign_Aid_MUSD</t>
  </si>
  <si>
    <t xml:space="preserve">Total Military spending </t>
  </si>
  <si>
    <t>Total Refugees Displaced</t>
  </si>
  <si>
    <t>Total Foreign Aid</t>
  </si>
  <si>
    <t>Total Casualties</t>
  </si>
  <si>
    <t xml:space="preserve">             GLOBAL CONFLICT INTELLIGENCE DASHBOARD</t>
  </si>
  <si>
    <t xml:space="preserve">                    Overview of Military Spendings, Casualties , Refugees, and Foreign Aid (2022-2026)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</si>
</sst>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name val="Calibri"/>
      <family val="2"/>
    </font>
    <font>
      <sz val="22"/>
      <color theme="1"/>
      <name val="Calibri"/>
      <family val="2"/>
      <scheme val="minor"/>
    </font>
    <font>
      <sz val="22"/>
      <color theme="0"/>
      <name val="Calibri"/>
      <family val="2"/>
      <scheme val="minor"/>
    </font>
    <font>
      <sz val="14"/>
      <color theme="0"/>
      <name val="Calibri"/>
      <family val="2"/>
      <scheme val="minor"/>
    </font>
  </fonts>
  <fills count="3">
    <fill>
      <patternFill patternType="none"/>
    </fill>
    <fill>
      <patternFill patternType="gray125"/>
    </fill>
    <fill>
      <patternFill patternType="solid">
        <fgColor theme="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2" xfId="0" applyFont="1" applyFill="1" applyBorder="1" applyAlignment="1">
      <alignment horizontal="center" vertical="top"/>
    </xf>
    <xf numFmtId="0" fontId="0" fillId="0" borderId="3" xfId="0" applyBorder="1"/>
    <xf numFmtId="0" fontId="2" fillId="2" borderId="0" xfId="0" applyFont="1" applyFill="1" applyAlignment="1">
      <alignment horizontal="left" vertical="top"/>
    </xf>
    <xf numFmtId="0" fontId="3" fillId="2" borderId="0" xfId="0" applyFont="1" applyFill="1" applyAlignment="1">
      <alignment horizontal="left" vertical="top"/>
    </xf>
    <xf numFmtId="0" fontId="4" fillId="2" borderId="0" xfId="0" applyFont="1" applyFill="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[Global_Conflict_Dashboard.xlsx]Sheet7!PivotTable3</c:name>
    <c:fmtId val="1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aseline="0">
                <a:solidFill>
                  <a:srgbClr val="0070C0"/>
                </a:solidFill>
              </a:rPr>
              <a:t>1. </a:t>
            </a:r>
            <a:r>
              <a:rPr lang="en-US" sz="1400" baseline="0">
                <a:solidFill>
                  <a:srgbClr val="0070C0"/>
                </a:solidFill>
              </a:rPr>
              <a:t>MILITARY SPENDING TREND (MILLION USD</a:t>
            </a:r>
            <a:r>
              <a:rPr lang="en-US" sz="1400" baseline="0"/>
              <a:t>)</a:t>
            </a:r>
          </a:p>
        </c:rich>
      </c:tx>
      <c:layout>
        <c:manualLayout>
          <c:xMode val="edge"/>
          <c:yMode val="edge"/>
          <c:x val="0.14368112445540265"/>
          <c:y val="3.355256171013305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pivotFmt>
      <c:pivotFmt>
        <c:idx val="2"/>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pivotFmt>
      <c:pivotFmt>
        <c:idx val="3"/>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pivotFmt>
      <c:pivotFmt>
        <c:idx val="4"/>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cat>
            <c:multiLvlStrRef>
              <c:f>Sheet7!$A$4:$A$16</c:f>
              <c:multiLvlStrCache>
                <c:ptCount val="8"/>
                <c:lvl>
                  <c:pt idx="0">
                    <c:v>Jan</c:v>
                  </c:pt>
                  <c:pt idx="1">
                    <c:v>Jul</c:v>
                  </c:pt>
                  <c:pt idx="2">
                    <c:v>Jan</c:v>
                  </c:pt>
                  <c:pt idx="3">
                    <c:v>Jul</c:v>
                  </c:pt>
                  <c:pt idx="4">
                    <c:v>Jan</c:v>
                  </c:pt>
                  <c:pt idx="5">
                    <c:v>Jul</c:v>
                  </c:pt>
                  <c:pt idx="6">
                    <c:v>Jan</c:v>
                  </c:pt>
                  <c:pt idx="7">
                    <c:v>Jul</c:v>
                  </c:pt>
                </c:lvl>
                <c:lvl>
                  <c:pt idx="0">
                    <c:v>2022</c:v>
                  </c:pt>
                  <c:pt idx="2">
                    <c:v>2023</c:v>
                  </c:pt>
                  <c:pt idx="4">
                    <c:v>2024</c:v>
                  </c:pt>
                  <c:pt idx="6">
                    <c:v>2025</c:v>
                  </c:pt>
                </c:lvl>
              </c:multiLvlStrCache>
            </c:multiLvlStrRef>
          </c:cat>
          <c:val>
            <c:numRef>
              <c:f>Sheet7!$B$4:$B$16</c:f>
              <c:numCache>
                <c:formatCode>General</c:formatCode>
                <c:ptCount val="8"/>
                <c:pt idx="0">
                  <c:v>34629.800000000003</c:v>
                </c:pt>
                <c:pt idx="1">
                  <c:v>31675.599999999999</c:v>
                </c:pt>
                <c:pt idx="2">
                  <c:v>31707.699999999997</c:v>
                </c:pt>
                <c:pt idx="3">
                  <c:v>21445.8</c:v>
                </c:pt>
                <c:pt idx="4">
                  <c:v>39428.9</c:v>
                </c:pt>
                <c:pt idx="5">
                  <c:v>25790.800000000003</c:v>
                </c:pt>
                <c:pt idx="6">
                  <c:v>37359.700000000004</c:v>
                </c:pt>
                <c:pt idx="7">
                  <c:v>46493.4</c:v>
                </c:pt>
              </c:numCache>
            </c:numRef>
          </c:val>
          <c:smooth val="0"/>
          <c:extLst>
            <c:ext xmlns:c16="http://schemas.microsoft.com/office/drawing/2014/chart" uri="{C3380CC4-5D6E-409C-BE32-E72D297353CC}">
              <c16:uniqueId val="{00000000-376B-4C11-AD37-BB41DCBCDE55}"/>
            </c:ext>
          </c:extLst>
        </c:ser>
        <c:dLbls>
          <c:showLegendKey val="0"/>
          <c:showVal val="0"/>
          <c:showCatName val="0"/>
          <c:showSerName val="0"/>
          <c:showPercent val="0"/>
          <c:showBubbleSize val="0"/>
        </c:dLbls>
        <c:marker val="1"/>
        <c:smooth val="0"/>
        <c:axId val="1441190912"/>
        <c:axId val="1441182752"/>
      </c:lineChart>
      <c:catAx>
        <c:axId val="144119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82752"/>
        <c:crosses val="autoZero"/>
        <c:auto val="1"/>
        <c:lblAlgn val="ctr"/>
        <c:lblOffset val="100"/>
        <c:noMultiLvlLbl val="0"/>
      </c:catAx>
      <c:valAx>
        <c:axId val="1441182752"/>
        <c:scaling>
          <c:orientation val="minMax"/>
          <c:max val="45000"/>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144119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[Global_Conflict_Dashboard.xlsx]Sheet7!PivotTable4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2. REFUGEE DISPLACEMENT TREND (THOUSAND PEOPLE</a:t>
            </a:r>
            <a:r>
              <a:rPr lang="en-US">
                <a:solidFill>
                  <a:srgbClr val="002060"/>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alpha val="25000"/>
            </a:srgbClr>
          </a:solidFill>
          <a:ln w="15875">
            <a:solidFill>
              <a:srgbClr val="0070C0">
                <a:alpha val="7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alpha val="25000"/>
            </a:srgbClr>
          </a:solidFill>
          <a:ln w="15875">
            <a:solidFill>
              <a:srgbClr val="0070C0">
                <a:alpha val="7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alpha val="25000"/>
            </a:srgbClr>
          </a:solidFill>
          <a:ln w="15875">
            <a:solidFill>
              <a:srgbClr val="0070C0">
                <a:alpha val="7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Sheet7!$B$23</c:f>
              <c:strCache>
                <c:ptCount val="1"/>
                <c:pt idx="0">
                  <c:v>Total</c:v>
                </c:pt>
              </c:strCache>
            </c:strRef>
          </c:tx>
          <c:spPr>
            <a:solidFill>
              <a:srgbClr val="00B0F0">
                <a:alpha val="25000"/>
              </a:srgbClr>
            </a:solidFill>
            <a:ln w="15875">
              <a:solidFill>
                <a:srgbClr val="0070C0">
                  <a:alpha val="70000"/>
                </a:srgbClr>
              </a:solidFill>
            </a:ln>
            <a:effectLst/>
          </c:spPr>
          <c:cat>
            <c:multiLvlStrRef>
              <c:f>Sheet7!$A$24:$A$36</c:f>
              <c:multiLvlStrCache>
                <c:ptCount val="8"/>
                <c:lvl>
                  <c:pt idx="0">
                    <c:v>Jan</c:v>
                  </c:pt>
                  <c:pt idx="1">
                    <c:v>Jul</c:v>
                  </c:pt>
                  <c:pt idx="2">
                    <c:v>Jan</c:v>
                  </c:pt>
                  <c:pt idx="3">
                    <c:v>Jul</c:v>
                  </c:pt>
                  <c:pt idx="4">
                    <c:v>Jan</c:v>
                  </c:pt>
                  <c:pt idx="5">
                    <c:v>Jul</c:v>
                  </c:pt>
                  <c:pt idx="6">
                    <c:v>Jan</c:v>
                  </c:pt>
                  <c:pt idx="7">
                    <c:v>Jul</c:v>
                  </c:pt>
                </c:lvl>
                <c:lvl>
                  <c:pt idx="0">
                    <c:v>2022</c:v>
                  </c:pt>
                  <c:pt idx="2">
                    <c:v>2023</c:v>
                  </c:pt>
                  <c:pt idx="4">
                    <c:v>2024</c:v>
                  </c:pt>
                  <c:pt idx="6">
                    <c:v>2025</c:v>
                  </c:pt>
                </c:lvl>
              </c:multiLvlStrCache>
            </c:multiLvlStrRef>
          </c:cat>
          <c:val>
            <c:numRef>
              <c:f>Sheet7!$B$24:$B$36</c:f>
              <c:numCache>
                <c:formatCode>General</c:formatCode>
                <c:ptCount val="8"/>
                <c:pt idx="0">
                  <c:v>127496</c:v>
                </c:pt>
                <c:pt idx="1">
                  <c:v>93399</c:v>
                </c:pt>
                <c:pt idx="2">
                  <c:v>90921</c:v>
                </c:pt>
                <c:pt idx="3">
                  <c:v>109605</c:v>
                </c:pt>
                <c:pt idx="4">
                  <c:v>128210</c:v>
                </c:pt>
                <c:pt idx="5">
                  <c:v>137633</c:v>
                </c:pt>
                <c:pt idx="6">
                  <c:v>141699</c:v>
                </c:pt>
                <c:pt idx="7">
                  <c:v>171075</c:v>
                </c:pt>
              </c:numCache>
            </c:numRef>
          </c:val>
          <c:extLst>
            <c:ext xmlns:c16="http://schemas.microsoft.com/office/drawing/2014/chart" uri="{C3380CC4-5D6E-409C-BE32-E72D297353CC}">
              <c16:uniqueId val="{00000000-839E-4E91-A956-3C0DE8ADD279}"/>
            </c:ext>
          </c:extLst>
        </c:ser>
        <c:dLbls>
          <c:showLegendKey val="0"/>
          <c:showVal val="0"/>
          <c:showCatName val="0"/>
          <c:showSerName val="0"/>
          <c:showPercent val="0"/>
          <c:showBubbleSize val="0"/>
        </c:dLbls>
        <c:axId val="1441211552"/>
        <c:axId val="1441208672"/>
      </c:areaChart>
      <c:catAx>
        <c:axId val="144121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208672"/>
        <c:crosses val="autoZero"/>
        <c:auto val="1"/>
        <c:lblAlgn val="ctr"/>
        <c:lblOffset val="100"/>
        <c:noMultiLvlLbl val="0"/>
      </c:catAx>
      <c:valAx>
        <c:axId val="1441208672"/>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2115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[Global_Conflict_Dashboard.xlsx]Sheet7!PivotTable6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3. TOP CONFLICTS BY TOTAL CASUALTIES (CIVILIAN + MILITARY)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Sheet7!$B$55</c:f>
              <c:strCache>
                <c:ptCount val="1"/>
                <c:pt idx="0">
                  <c:v>Total</c:v>
                </c:pt>
              </c:strCache>
            </c:strRef>
          </c:tx>
          <c:spPr>
            <a:solidFill>
              <a:schemeClr val="accent1"/>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Sheet7!$A$56:$A$64</c:f>
              <c:strCache>
                <c:ptCount val="8"/>
                <c:pt idx="0">
                  <c:v>Taiwan Strait Tension</c:v>
                </c:pt>
                <c:pt idx="1">
                  <c:v>Russia-Ukraine War</c:v>
                </c:pt>
                <c:pt idx="2">
                  <c:v>Syria Conflict</c:v>
                </c:pt>
                <c:pt idx="3">
                  <c:v>South China Sea Tension</c:v>
                </c:pt>
                <c:pt idx="4">
                  <c:v>Israel-Hamas War</c:v>
                </c:pt>
                <c:pt idx="5">
                  <c:v>Yemen Conflict</c:v>
                </c:pt>
                <c:pt idx="6">
                  <c:v>Sudan Conflict</c:v>
                </c:pt>
                <c:pt idx="7">
                  <c:v>Myanmar Conflict</c:v>
                </c:pt>
              </c:strCache>
            </c:strRef>
          </c:cat>
          <c:val>
            <c:numRef>
              <c:f>Sheet7!$B$56:$B$64</c:f>
              <c:numCache>
                <c:formatCode>General</c:formatCode>
                <c:ptCount val="8"/>
                <c:pt idx="0">
                  <c:v>25785</c:v>
                </c:pt>
                <c:pt idx="1">
                  <c:v>26225</c:v>
                </c:pt>
                <c:pt idx="2">
                  <c:v>26275</c:v>
                </c:pt>
                <c:pt idx="3">
                  <c:v>26686</c:v>
                </c:pt>
                <c:pt idx="4">
                  <c:v>26843</c:v>
                </c:pt>
                <c:pt idx="5">
                  <c:v>28503</c:v>
                </c:pt>
                <c:pt idx="6">
                  <c:v>29030</c:v>
                </c:pt>
                <c:pt idx="7">
                  <c:v>29432</c:v>
                </c:pt>
              </c:numCache>
            </c:numRef>
          </c:val>
          <c:extLst>
            <c:ext xmlns:c16="http://schemas.microsoft.com/office/drawing/2014/chart" uri="{C3380CC4-5D6E-409C-BE32-E72D297353CC}">
              <c16:uniqueId val="{00000000-A3D4-41F8-8E1B-362EB53B62C0}"/>
            </c:ext>
          </c:extLst>
        </c:ser>
        <c:dLbls>
          <c:dLblPos val="outEnd"/>
          <c:showLegendKey val="0"/>
          <c:showVal val="1"/>
          <c:showCatName val="0"/>
          <c:showSerName val="0"/>
          <c:showPercent val="0"/>
          <c:showBubbleSize val="0"/>
        </c:dLbls>
        <c:gapWidth val="182"/>
        <c:axId val="1441204352"/>
        <c:axId val="1441198112"/>
      </c:barChart>
      <c:catAx>
        <c:axId val="144120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98112"/>
        <c:crosses val="autoZero"/>
        <c:auto val="1"/>
        <c:lblAlgn val="ctr"/>
        <c:lblOffset val="100"/>
        <c:noMultiLvlLbl val="0"/>
      </c:catAx>
      <c:valAx>
        <c:axId val="1441198112"/>
        <c:scaling>
          <c:orientation val="minMax"/>
        </c:scaling>
        <c:delete val="0"/>
        <c:axPos val="b"/>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20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[Global_Conflict_Dashboard.xlsx]Sheet7!PivotTable7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70C0"/>
                </a:solidFill>
              </a:rPr>
              <a:t>4. FOREIGN AID DISTRIBUTION BY CONFLICT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Sheet7!$D$37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BB-40FD-9BCA-9DA4E726D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BB-40FD-9BCA-9DA4E726D9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BB-40FD-9BCA-9DA4E726D9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BB-40FD-9BCA-9DA4E726D9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BB-40FD-9BCA-9DA4E726D9D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BB-40FD-9BCA-9DA4E726D9D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EBB-40FD-9BCA-9DA4E726D9D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EBB-40FD-9BCA-9DA4E726D9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Sheet7!$C$38:$C$46</c:f>
              <c:strCache>
                <c:ptCount val="8"/>
                <c:pt idx="0">
                  <c:v>Israel-Hamas War</c:v>
                </c:pt>
                <c:pt idx="1">
                  <c:v>Myanmar Conflict</c:v>
                </c:pt>
                <c:pt idx="2">
                  <c:v>Russia-Ukraine War</c:v>
                </c:pt>
                <c:pt idx="3">
                  <c:v>South China Sea Tension</c:v>
                </c:pt>
                <c:pt idx="4">
                  <c:v>Sudan Conflict</c:v>
                </c:pt>
                <c:pt idx="5">
                  <c:v>Syria Conflict</c:v>
                </c:pt>
                <c:pt idx="6">
                  <c:v>Taiwan Strait Tension</c:v>
                </c:pt>
                <c:pt idx="7">
                  <c:v>Yemen Conflict</c:v>
                </c:pt>
              </c:strCache>
            </c:strRef>
          </c:cat>
          <c:val>
            <c:numRef>
              <c:f>Sheet7!$D$38:$D$46</c:f>
              <c:numCache>
                <c:formatCode>General</c:formatCode>
                <c:ptCount val="8"/>
                <c:pt idx="0">
                  <c:v>50333.100000000013</c:v>
                </c:pt>
                <c:pt idx="1">
                  <c:v>56760.69999999999</c:v>
                </c:pt>
                <c:pt idx="2">
                  <c:v>41881.900000000016</c:v>
                </c:pt>
                <c:pt idx="3">
                  <c:v>48426.799999999988</c:v>
                </c:pt>
                <c:pt idx="4">
                  <c:v>46806.200000000004</c:v>
                </c:pt>
                <c:pt idx="5">
                  <c:v>42828.999999999993</c:v>
                </c:pt>
                <c:pt idx="6">
                  <c:v>58094.499999999985</c:v>
                </c:pt>
                <c:pt idx="7">
                  <c:v>48135.099999999991</c:v>
                </c:pt>
              </c:numCache>
            </c:numRef>
          </c:val>
          <c:extLst>
            <c:ext xmlns:c16="http://schemas.microsoft.com/office/drawing/2014/chart" uri="{C3380CC4-5D6E-409C-BE32-E72D297353CC}">
              <c16:uniqueId val="{00000010-5EBB-40FD-9BCA-9DA4E726D9DF}"/>
            </c:ext>
          </c:extLst>
        </c:ser>
        <c:dLbls>
          <c:showLegendKey val="0"/>
          <c:showVal val="1"/>
          <c:showCatName val="0"/>
          <c:showSerName val="0"/>
          <c:showPercent val="0"/>
          <c:showBubbleSize val="0"/>
          <c:showLeaderLines val="1"/>
        </c:dLbls>
        <c:firstSliceAng val="0"/>
        <c:holeSize val="3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[Global_Conflict_Dashboard.xlsx]Sheet7!PivotTable8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70C0"/>
                </a:solidFill>
              </a:rPr>
              <a:t>5. CIVILIAN VS MILITARY CASUALTIES BY CONFLICT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45713035870517"/>
          <c:y val="0.19527777777777777"/>
          <c:w val="0.67520953630796154"/>
          <c:h val="0.69732283464566924"/>
        </c:manualLayout>
      </c:layout>
      <c:barChart>
        <c:barDir val="bar"/>
        <c:grouping val="stacked"/>
        <c:varyColors val="0"/>
        <c:ser>
          <c:idx val="0"/>
          <c:order val="0"/>
          <c:tx>
            <c:strRef>
              <c:f>Sheet7!$E$58</c:f>
              <c:strCache>
                <c:ptCount val="1"/>
                <c:pt idx="0">
                  <c:v>Sum of Civilian_Casualties</c:v>
                </c:pt>
              </c:strCache>
            </c:strRef>
          </c:tx>
          <c:spPr>
            <a:solidFill>
              <a:schemeClr val="accent1"/>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Sheet7!$D$59:$D$67</c:f>
              <c:strCache>
                <c:ptCount val="8"/>
                <c:pt idx="0">
                  <c:v>Taiwan Strait Tension</c:v>
                </c:pt>
                <c:pt idx="1">
                  <c:v>Russia-Ukraine War</c:v>
                </c:pt>
                <c:pt idx="2">
                  <c:v>Syria Conflict</c:v>
                </c:pt>
                <c:pt idx="3">
                  <c:v>South China Sea Tension</c:v>
                </c:pt>
                <c:pt idx="4">
                  <c:v>Israel-Hamas War</c:v>
                </c:pt>
                <c:pt idx="5">
                  <c:v>Myanmar Conflict</c:v>
                </c:pt>
                <c:pt idx="6">
                  <c:v>Yemen Conflict</c:v>
                </c:pt>
                <c:pt idx="7">
                  <c:v>Sudan Conflict</c:v>
                </c:pt>
              </c:strCache>
            </c:strRef>
          </c:cat>
          <c:val>
            <c:numRef>
              <c:f>Sheet7!$E$59:$E$67</c:f>
              <c:numCache>
                <c:formatCode>General</c:formatCode>
                <c:ptCount val="8"/>
                <c:pt idx="0">
                  <c:v>12616</c:v>
                </c:pt>
                <c:pt idx="1">
                  <c:v>14027</c:v>
                </c:pt>
                <c:pt idx="2">
                  <c:v>14838</c:v>
                </c:pt>
                <c:pt idx="3">
                  <c:v>14860</c:v>
                </c:pt>
                <c:pt idx="4">
                  <c:v>15721</c:v>
                </c:pt>
                <c:pt idx="5">
                  <c:v>16149</c:v>
                </c:pt>
                <c:pt idx="6">
                  <c:v>16468</c:v>
                </c:pt>
                <c:pt idx="7">
                  <c:v>16646</c:v>
                </c:pt>
              </c:numCache>
            </c:numRef>
          </c:val>
          <c:extLst>
            <c:ext xmlns:c16="http://schemas.microsoft.com/office/drawing/2014/chart" uri="{C3380CC4-5D6E-409C-BE32-E72D297353CC}">
              <c16:uniqueId val="{00000000-8CE1-4F2C-B096-D5154C47F3F0}"/>
            </c:ext>
          </c:extLst>
        </c:ser>
        <c:ser>
          <c:idx val="1"/>
          <c:order val="1"/>
          <c:tx>
            <c:strRef>
              <c:f>Sheet7!$F$58</c:f>
              <c:strCache>
                <c:ptCount val="1"/>
                <c:pt idx="0">
                  <c:v>Sum of Military_Casualties</c:v>
                </c:pt>
              </c:strCache>
            </c:strRef>
          </c:tx>
          <c:spPr>
            <a:solidFill>
              <a:schemeClr val="accent2"/>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Sheet7!$D$59:$D$67</c:f>
              <c:strCache>
                <c:ptCount val="8"/>
                <c:pt idx="0">
                  <c:v>Taiwan Strait Tension</c:v>
                </c:pt>
                <c:pt idx="1">
                  <c:v>Russia-Ukraine War</c:v>
                </c:pt>
                <c:pt idx="2">
                  <c:v>Syria Conflict</c:v>
                </c:pt>
                <c:pt idx="3">
                  <c:v>South China Sea Tension</c:v>
                </c:pt>
                <c:pt idx="4">
                  <c:v>Israel-Hamas War</c:v>
                </c:pt>
                <c:pt idx="5">
                  <c:v>Myanmar Conflict</c:v>
                </c:pt>
                <c:pt idx="6">
                  <c:v>Yemen Conflict</c:v>
                </c:pt>
                <c:pt idx="7">
                  <c:v>Sudan Conflict</c:v>
                </c:pt>
              </c:strCache>
            </c:strRef>
          </c:cat>
          <c:val>
            <c:numRef>
              <c:f>Sheet7!$F$59:$F$67</c:f>
              <c:numCache>
                <c:formatCode>General</c:formatCode>
                <c:ptCount val="8"/>
                <c:pt idx="0">
                  <c:v>13169</c:v>
                </c:pt>
                <c:pt idx="1">
                  <c:v>12198</c:v>
                </c:pt>
                <c:pt idx="2">
                  <c:v>11437</c:v>
                </c:pt>
                <c:pt idx="3">
                  <c:v>11826</c:v>
                </c:pt>
                <c:pt idx="4">
                  <c:v>11122</c:v>
                </c:pt>
                <c:pt idx="5">
                  <c:v>13283</c:v>
                </c:pt>
                <c:pt idx="6">
                  <c:v>12035</c:v>
                </c:pt>
                <c:pt idx="7">
                  <c:v>12384</c:v>
                </c:pt>
              </c:numCache>
            </c:numRef>
          </c:val>
          <c:extLst>
            <c:ext xmlns:c16="http://schemas.microsoft.com/office/drawing/2014/chart" uri="{C3380CC4-5D6E-409C-BE32-E72D297353CC}">
              <c16:uniqueId val="{00000001-8CE1-4F2C-B096-D5154C47F3F0}"/>
            </c:ext>
          </c:extLst>
        </c:ser>
        <c:dLbls>
          <c:dLblPos val="ctr"/>
          <c:showLegendKey val="0"/>
          <c:showVal val="1"/>
          <c:showCatName val="0"/>
          <c:showSerName val="0"/>
          <c:showPercent val="0"/>
          <c:showBubbleSize val="0"/>
        </c:dLbls>
        <c:gapWidth val="150"/>
        <c:overlap val="100"/>
        <c:axId val="1365354608"/>
        <c:axId val="1441229792"/>
      </c:barChart>
      <c:catAx>
        <c:axId val="136535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229792"/>
        <c:crosses val="autoZero"/>
        <c:auto val="1"/>
        <c:lblAlgn val="ctr"/>
        <c:lblOffset val="100"/>
        <c:noMultiLvlLbl val="0"/>
      </c:catAx>
      <c:valAx>
        <c:axId val="1441229792"/>
        <c:scaling>
          <c:orientation val="minMax"/>
        </c:scaling>
        <c:delete val="0"/>
        <c:axPos val="b"/>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546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[Global_Conflict_Dashboard.xlsx]Sheet7!PivotTable9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6.MILITARY</a:t>
            </a:r>
            <a:r>
              <a:rPr lang="en-US" baseline="0">
                <a:solidFill>
                  <a:srgbClr val="0070C0"/>
                </a:solidFill>
              </a:rPr>
              <a:t> SPENDING BY REGION</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Sheet7!$B$70</c:f>
              <c:strCache>
                <c:ptCount val="1"/>
                <c:pt idx="0">
                  <c:v>Total</c:v>
                </c:pt>
              </c:strCache>
            </c:strRef>
          </c:tx>
          <c:spPr>
            <a:solidFill>
              <a:schemeClr val="accent1"/>
            </a:solidFill>
            <a:ln>
              <a:noFill/>
            </a:ln>
            <a:effectLst/>
          </c:spPr>
          <c:invertIfNegative val="0"/>
          <c:cat>
            <c:strRef>
              <c:f>Sheet7!$A$71:$A$75</c:f>
              <c:strCache>
                <c:ptCount val="4"/>
                <c:pt idx="0">
                  <c:v>Middle East</c:v>
                </c:pt>
                <c:pt idx="1">
                  <c:v>Asia</c:v>
                </c:pt>
                <c:pt idx="2">
                  <c:v>Europe</c:v>
                </c:pt>
                <c:pt idx="3">
                  <c:v>Africa</c:v>
                </c:pt>
              </c:strCache>
            </c:strRef>
          </c:cat>
          <c:val>
            <c:numRef>
              <c:f>Sheet7!$B$71:$B$75</c:f>
              <c:numCache>
                <c:formatCode>General</c:formatCode>
                <c:ptCount val="4"/>
                <c:pt idx="0">
                  <c:v>619276.1</c:v>
                </c:pt>
                <c:pt idx="1">
                  <c:v>579292.30000000016</c:v>
                </c:pt>
                <c:pt idx="2">
                  <c:v>190768.40000000002</c:v>
                </c:pt>
                <c:pt idx="3">
                  <c:v>175227.1</c:v>
                </c:pt>
              </c:numCache>
            </c:numRef>
          </c:val>
          <c:extLst>
            <c:ext xmlns:c16="http://schemas.microsoft.com/office/drawing/2014/chart" uri="{C3380CC4-5D6E-409C-BE32-E72D297353CC}">
              <c16:uniqueId val="{00000000-0139-4B21-A900-DA4ADEAF7D77}"/>
            </c:ext>
          </c:extLst>
        </c:ser>
        <c:dLbls>
          <c:showLegendKey val="0"/>
          <c:showVal val="0"/>
          <c:showCatName val="0"/>
          <c:showSerName val="0"/>
          <c:showPercent val="0"/>
          <c:showBubbleSize val="0"/>
        </c:dLbls>
        <c:gapWidth val="219"/>
        <c:overlap val="-27"/>
        <c:axId val="1747041840"/>
        <c:axId val="1747040880"/>
      </c:barChart>
      <c:catAx>
        <c:axId val="174704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040880"/>
        <c:crosses val="autoZero"/>
        <c:auto val="1"/>
        <c:lblAlgn val="ctr"/>
        <c:lblOffset val="100"/>
        <c:noMultiLvlLbl val="0"/>
      </c:catAx>
      <c:valAx>
        <c:axId val="1747040880"/>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04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[Global_Conflict_Dashboard.xlsx]Sheet7!PivotTable3</c:name>
    <c:fmtId val="2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aseline="0">
                <a:solidFill>
                  <a:srgbClr val="0070C0"/>
                </a:solidFill>
              </a:rPr>
              <a:t>1. </a:t>
            </a:r>
            <a:r>
              <a:rPr lang="en-US" sz="1400" baseline="0">
                <a:solidFill>
                  <a:srgbClr val="0070C0"/>
                </a:solidFill>
              </a:rPr>
              <a:t>MILITARY SPENDING TREND (MILLION USD</a:t>
            </a:r>
            <a:r>
              <a:rPr lang="en-US" sz="1400" baseline="0"/>
              <a:t>)</a:t>
            </a:r>
          </a:p>
        </c:rich>
      </c:tx>
      <c:layout>
        <c:manualLayout>
          <c:xMode val="edge"/>
          <c:yMode val="edge"/>
          <c:x val="0.14368112445540265"/>
          <c:y val="3.355256171013305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pivotFmt>
      <c:pivotFmt>
        <c:idx val="2"/>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pivotFmt>
      <c:pivotFmt>
        <c:idx val="3"/>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pivotFmt>
      <c:pivotFmt>
        <c:idx val="4"/>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2225" cap="rnd">
              <a:solidFill>
                <a:srgbClr val="002060">
                  <a:alpha val="88000"/>
                </a:srgbClr>
              </a:solidFill>
              <a:round/>
            </a:ln>
            <a:effectLst/>
          </c:spPr>
          <c:marker>
            <c:symbol val="circle"/>
            <c:size val="5"/>
            <c:spPr>
              <a:solidFill>
                <a:srgbClr val="00B0F0">
                  <a:alpha val="40000"/>
                </a:srgbClr>
              </a:solidFill>
              <a:ln w="9525">
                <a:solidFill>
                  <a:schemeClr val="accent1"/>
                </a:solidFill>
              </a:ln>
              <a:effectLst/>
            </c:spPr>
          </c:marker>
          <c:cat>
            <c:multiLvlStrRef>
              <c:f>Sheet7!$A$4:$A$16</c:f>
              <c:multiLvlStrCache>
                <c:ptCount val="8"/>
                <c:lvl>
                  <c:pt idx="0">
                    <c:v>Jan</c:v>
                  </c:pt>
                  <c:pt idx="1">
                    <c:v>Jul</c:v>
                  </c:pt>
                  <c:pt idx="2">
                    <c:v>Jan</c:v>
                  </c:pt>
                  <c:pt idx="3">
                    <c:v>Jul</c:v>
                  </c:pt>
                  <c:pt idx="4">
                    <c:v>Jan</c:v>
                  </c:pt>
                  <c:pt idx="5">
                    <c:v>Jul</c:v>
                  </c:pt>
                  <c:pt idx="6">
                    <c:v>Jan</c:v>
                  </c:pt>
                  <c:pt idx="7">
                    <c:v>Jul</c:v>
                  </c:pt>
                </c:lvl>
                <c:lvl>
                  <c:pt idx="0">
                    <c:v>2022</c:v>
                  </c:pt>
                  <c:pt idx="2">
                    <c:v>2023</c:v>
                  </c:pt>
                  <c:pt idx="4">
                    <c:v>2024</c:v>
                  </c:pt>
                  <c:pt idx="6">
                    <c:v>2025</c:v>
                  </c:pt>
                </c:lvl>
              </c:multiLvlStrCache>
            </c:multiLvlStrRef>
          </c:cat>
          <c:val>
            <c:numRef>
              <c:f>Sheet7!$B$4:$B$16</c:f>
              <c:numCache>
                <c:formatCode>General</c:formatCode>
                <c:ptCount val="8"/>
                <c:pt idx="0">
                  <c:v>34629.800000000003</c:v>
                </c:pt>
                <c:pt idx="1">
                  <c:v>31675.599999999999</c:v>
                </c:pt>
                <c:pt idx="2">
                  <c:v>31707.699999999997</c:v>
                </c:pt>
                <c:pt idx="3">
                  <c:v>21445.8</c:v>
                </c:pt>
                <c:pt idx="4">
                  <c:v>39428.9</c:v>
                </c:pt>
                <c:pt idx="5">
                  <c:v>25790.800000000003</c:v>
                </c:pt>
                <c:pt idx="6">
                  <c:v>37359.700000000004</c:v>
                </c:pt>
                <c:pt idx="7">
                  <c:v>46493.4</c:v>
                </c:pt>
              </c:numCache>
            </c:numRef>
          </c:val>
          <c:smooth val="0"/>
          <c:extLst>
            <c:ext xmlns:c16="http://schemas.microsoft.com/office/drawing/2014/chart" uri="{C3380CC4-5D6E-409C-BE32-E72D297353CC}">
              <c16:uniqueId val="{00000000-EE6B-4364-B52C-483338C098FD}"/>
            </c:ext>
          </c:extLst>
        </c:ser>
        <c:dLbls>
          <c:showLegendKey val="0"/>
          <c:showVal val="0"/>
          <c:showCatName val="0"/>
          <c:showSerName val="0"/>
          <c:showPercent val="0"/>
          <c:showBubbleSize val="0"/>
        </c:dLbls>
        <c:marker val="1"/>
        <c:smooth val="0"/>
        <c:axId val="1441190912"/>
        <c:axId val="1441182752"/>
      </c:lineChart>
      <c:catAx>
        <c:axId val="144119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82752"/>
        <c:crosses val="autoZero"/>
        <c:auto val="1"/>
        <c:lblAlgn val="ctr"/>
        <c:lblOffset val="100"/>
        <c:noMultiLvlLbl val="0"/>
      </c:catAx>
      <c:valAx>
        <c:axId val="1441182752"/>
        <c:scaling>
          <c:orientation val="minMax"/>
          <c:max val="45000"/>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144119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[Global_Conflict_Dashboard.xlsx]Sheet7!PivotTable4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2. REFUGEE DISPLACEMENT TREND (THOUSAND PEOPLE</a:t>
            </a:r>
            <a:r>
              <a:rPr lang="en-US">
                <a:solidFill>
                  <a:srgbClr val="002060"/>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alpha val="25000"/>
            </a:srgbClr>
          </a:solidFill>
          <a:ln w="15875">
            <a:solidFill>
              <a:srgbClr val="0070C0">
                <a:alpha val="7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alpha val="25000"/>
            </a:srgbClr>
          </a:solidFill>
          <a:ln w="15875">
            <a:solidFill>
              <a:srgbClr val="0070C0">
                <a:alpha val="7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alpha val="25000"/>
            </a:srgbClr>
          </a:solidFill>
          <a:ln w="15875">
            <a:solidFill>
              <a:srgbClr val="0070C0">
                <a:alpha val="7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alpha val="25000"/>
            </a:srgbClr>
          </a:solidFill>
          <a:ln w="15875">
            <a:solidFill>
              <a:srgbClr val="0070C0">
                <a:alpha val="7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alpha val="25000"/>
            </a:srgbClr>
          </a:solidFill>
          <a:ln w="15875">
            <a:solidFill>
              <a:srgbClr val="0070C0">
                <a:alpha val="7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Sheet7!$B$23</c:f>
              <c:strCache>
                <c:ptCount val="1"/>
                <c:pt idx="0">
                  <c:v>Total</c:v>
                </c:pt>
              </c:strCache>
            </c:strRef>
          </c:tx>
          <c:spPr>
            <a:solidFill>
              <a:srgbClr val="00B0F0">
                <a:alpha val="25000"/>
              </a:srgbClr>
            </a:solidFill>
            <a:ln w="15875">
              <a:solidFill>
                <a:srgbClr val="0070C0">
                  <a:alpha val="70000"/>
                </a:srgbClr>
              </a:solidFill>
            </a:ln>
            <a:effectLst/>
          </c:spPr>
          <c:cat>
            <c:multiLvlStrRef>
              <c:f>Sheet7!$A$24:$A$36</c:f>
              <c:multiLvlStrCache>
                <c:ptCount val="8"/>
                <c:lvl>
                  <c:pt idx="0">
                    <c:v>Jan</c:v>
                  </c:pt>
                  <c:pt idx="1">
                    <c:v>Jul</c:v>
                  </c:pt>
                  <c:pt idx="2">
                    <c:v>Jan</c:v>
                  </c:pt>
                  <c:pt idx="3">
                    <c:v>Jul</c:v>
                  </c:pt>
                  <c:pt idx="4">
                    <c:v>Jan</c:v>
                  </c:pt>
                  <c:pt idx="5">
                    <c:v>Jul</c:v>
                  </c:pt>
                  <c:pt idx="6">
                    <c:v>Jan</c:v>
                  </c:pt>
                  <c:pt idx="7">
                    <c:v>Jul</c:v>
                  </c:pt>
                </c:lvl>
                <c:lvl>
                  <c:pt idx="0">
                    <c:v>2022</c:v>
                  </c:pt>
                  <c:pt idx="2">
                    <c:v>2023</c:v>
                  </c:pt>
                  <c:pt idx="4">
                    <c:v>2024</c:v>
                  </c:pt>
                  <c:pt idx="6">
                    <c:v>2025</c:v>
                  </c:pt>
                </c:lvl>
              </c:multiLvlStrCache>
            </c:multiLvlStrRef>
          </c:cat>
          <c:val>
            <c:numRef>
              <c:f>Sheet7!$B$24:$B$36</c:f>
              <c:numCache>
                <c:formatCode>General</c:formatCode>
                <c:ptCount val="8"/>
                <c:pt idx="0">
                  <c:v>127496</c:v>
                </c:pt>
                <c:pt idx="1">
                  <c:v>93399</c:v>
                </c:pt>
                <c:pt idx="2">
                  <c:v>90921</c:v>
                </c:pt>
                <c:pt idx="3">
                  <c:v>109605</c:v>
                </c:pt>
                <c:pt idx="4">
                  <c:v>128210</c:v>
                </c:pt>
                <c:pt idx="5">
                  <c:v>137633</c:v>
                </c:pt>
                <c:pt idx="6">
                  <c:v>141699</c:v>
                </c:pt>
                <c:pt idx="7">
                  <c:v>171075</c:v>
                </c:pt>
              </c:numCache>
            </c:numRef>
          </c:val>
          <c:extLst>
            <c:ext xmlns:c16="http://schemas.microsoft.com/office/drawing/2014/chart" uri="{C3380CC4-5D6E-409C-BE32-E72D297353CC}">
              <c16:uniqueId val="{00000000-2061-444F-849A-F3A1E450588C}"/>
            </c:ext>
          </c:extLst>
        </c:ser>
        <c:dLbls>
          <c:showLegendKey val="0"/>
          <c:showVal val="0"/>
          <c:showCatName val="0"/>
          <c:showSerName val="0"/>
          <c:showPercent val="0"/>
          <c:showBubbleSize val="0"/>
        </c:dLbls>
        <c:axId val="1441211552"/>
        <c:axId val="1441208672"/>
      </c:areaChart>
      <c:catAx>
        <c:axId val="144121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208672"/>
        <c:crosses val="autoZero"/>
        <c:auto val="1"/>
        <c:lblAlgn val="ctr"/>
        <c:lblOffset val="100"/>
        <c:noMultiLvlLbl val="0"/>
      </c:catAx>
      <c:valAx>
        <c:axId val="1441208672"/>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2115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[Global_Conflict_Dashboard.xlsx]Sheet7!PivotTable6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3. TOP CONFLICTS BY TOTAL CASUALTIES (CIVILIAN + MILITARY)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Sheet7!$B$55</c:f>
              <c:strCache>
                <c:ptCount val="1"/>
                <c:pt idx="0">
                  <c:v>Total</c:v>
                </c:pt>
              </c:strCache>
            </c:strRef>
          </c:tx>
          <c:spPr>
            <a:solidFill>
              <a:schemeClr val="accent1"/>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Sheet7!$A$56:$A$64</c:f>
              <c:strCache>
                <c:ptCount val="8"/>
                <c:pt idx="0">
                  <c:v>Taiwan Strait Tension</c:v>
                </c:pt>
                <c:pt idx="1">
                  <c:v>Russia-Ukraine War</c:v>
                </c:pt>
                <c:pt idx="2">
                  <c:v>Syria Conflict</c:v>
                </c:pt>
                <c:pt idx="3">
                  <c:v>South China Sea Tension</c:v>
                </c:pt>
                <c:pt idx="4">
                  <c:v>Israel-Hamas War</c:v>
                </c:pt>
                <c:pt idx="5">
                  <c:v>Yemen Conflict</c:v>
                </c:pt>
                <c:pt idx="6">
                  <c:v>Sudan Conflict</c:v>
                </c:pt>
                <c:pt idx="7">
                  <c:v>Myanmar Conflict</c:v>
                </c:pt>
              </c:strCache>
            </c:strRef>
          </c:cat>
          <c:val>
            <c:numRef>
              <c:f>Sheet7!$B$56:$B$64</c:f>
              <c:numCache>
                <c:formatCode>General</c:formatCode>
                <c:ptCount val="8"/>
                <c:pt idx="0">
                  <c:v>25785</c:v>
                </c:pt>
                <c:pt idx="1">
                  <c:v>26225</c:v>
                </c:pt>
                <c:pt idx="2">
                  <c:v>26275</c:v>
                </c:pt>
                <c:pt idx="3">
                  <c:v>26686</c:v>
                </c:pt>
                <c:pt idx="4">
                  <c:v>26843</c:v>
                </c:pt>
                <c:pt idx="5">
                  <c:v>28503</c:v>
                </c:pt>
                <c:pt idx="6">
                  <c:v>29030</c:v>
                </c:pt>
                <c:pt idx="7">
                  <c:v>29432</c:v>
                </c:pt>
              </c:numCache>
            </c:numRef>
          </c:val>
          <c:extLst>
            <c:ext xmlns:c16="http://schemas.microsoft.com/office/drawing/2014/chart" uri="{C3380CC4-5D6E-409C-BE32-E72D297353CC}">
              <c16:uniqueId val="{00000000-82A7-4259-A6DC-369C20AFBBBB}"/>
            </c:ext>
          </c:extLst>
        </c:ser>
        <c:dLbls>
          <c:dLblPos val="outEnd"/>
          <c:showLegendKey val="0"/>
          <c:showVal val="1"/>
          <c:showCatName val="0"/>
          <c:showSerName val="0"/>
          <c:showPercent val="0"/>
          <c:showBubbleSize val="0"/>
        </c:dLbls>
        <c:gapWidth val="182"/>
        <c:axId val="1441204352"/>
        <c:axId val="1441198112"/>
      </c:barChart>
      <c:catAx>
        <c:axId val="144120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98112"/>
        <c:crosses val="autoZero"/>
        <c:auto val="1"/>
        <c:lblAlgn val="ctr"/>
        <c:lblOffset val="100"/>
        <c:noMultiLvlLbl val="0"/>
      </c:catAx>
      <c:valAx>
        <c:axId val="1441198112"/>
        <c:scaling>
          <c:orientation val="minMax"/>
        </c:scaling>
        <c:delete val="0"/>
        <c:axPos val="b"/>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20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[Global_Conflict_Dashboard.xlsx]Sheet7!PivotTable7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70C0"/>
                </a:solidFill>
              </a:rPr>
              <a:t>4. FOREIGN AID DISTRIBUTION BY CONFLICT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doughnutChart>
        <c:varyColors val="1"/>
        <c:ser>
          <c:idx val="0"/>
          <c:order val="0"/>
          <c:tx>
            <c:strRef>
              <c:f>Sheet7!$D$37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42-4A86-B828-64192F69D8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42-4A86-B828-64192F69D8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42-4A86-B828-64192F69D8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42-4A86-B828-64192F69D8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42-4A86-B828-64192F69D8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B42-4A86-B828-64192F69D86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B42-4A86-B828-64192F69D86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B42-4A86-B828-64192F69D869}"/>
              </c:ext>
            </c:extLst>
          </c:dPt>
          <c:dLbls>
            <c:delete val="1"/>
          </c:dLbls>
          <c:cat>
            <c:strRef>
              <c:f>Sheet7!$C$38:$C$46</c:f>
              <c:strCache>
                <c:ptCount val="8"/>
                <c:pt idx="0">
                  <c:v>Israel-Hamas War</c:v>
                </c:pt>
                <c:pt idx="1">
                  <c:v>Myanmar Conflict</c:v>
                </c:pt>
                <c:pt idx="2">
                  <c:v>Russia-Ukraine War</c:v>
                </c:pt>
                <c:pt idx="3">
                  <c:v>South China Sea Tension</c:v>
                </c:pt>
                <c:pt idx="4">
                  <c:v>Sudan Conflict</c:v>
                </c:pt>
                <c:pt idx="5">
                  <c:v>Syria Conflict</c:v>
                </c:pt>
                <c:pt idx="6">
                  <c:v>Taiwan Strait Tension</c:v>
                </c:pt>
                <c:pt idx="7">
                  <c:v>Yemen Conflict</c:v>
                </c:pt>
              </c:strCache>
            </c:strRef>
          </c:cat>
          <c:val>
            <c:numRef>
              <c:f>Sheet7!$D$38:$D$46</c:f>
              <c:numCache>
                <c:formatCode>General</c:formatCode>
                <c:ptCount val="8"/>
                <c:pt idx="0">
                  <c:v>50333.100000000013</c:v>
                </c:pt>
                <c:pt idx="1">
                  <c:v>56760.69999999999</c:v>
                </c:pt>
                <c:pt idx="2">
                  <c:v>41881.900000000016</c:v>
                </c:pt>
                <c:pt idx="3">
                  <c:v>48426.799999999988</c:v>
                </c:pt>
                <c:pt idx="4">
                  <c:v>46806.200000000004</c:v>
                </c:pt>
                <c:pt idx="5">
                  <c:v>42828.999999999993</c:v>
                </c:pt>
                <c:pt idx="6">
                  <c:v>58094.499999999985</c:v>
                </c:pt>
                <c:pt idx="7">
                  <c:v>48135.099999999991</c:v>
                </c:pt>
              </c:numCache>
            </c:numRef>
          </c:val>
          <c:extLst>
            <c:ext xmlns:c16="http://schemas.microsoft.com/office/drawing/2014/chart" uri="{C3380CC4-5D6E-409C-BE32-E72D297353CC}">
              <c16:uniqueId val="{00000010-2B42-4A86-B828-64192F69D869}"/>
            </c:ext>
          </c:extLst>
        </c:ser>
        <c:dLbls>
          <c:showLegendKey val="0"/>
          <c:showVal val="1"/>
          <c:showCatName val="0"/>
          <c:showSerName val="0"/>
          <c:showPercent val="0"/>
          <c:showBubbleSize val="0"/>
          <c:showLeaderLines val="1"/>
        </c:dLbls>
        <c:firstSliceAng val="0"/>
        <c:holeSize val="3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[Global_Conflict_Dashboard.xlsx]Sheet7!PivotTable8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70C0"/>
                </a:solidFill>
              </a:rPr>
              <a:t>5. CIVILIAN VS MILITARY CASUALTIES BY CONFLICT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2"/>
          </a:solidFill>
          <a:ln>
            <a:noFill/>
          </a:ln>
          <a:effectLst/>
        </c:spPr>
      </c:pivotFmt>
    </c:pivotFmts>
    <c:plotArea>
      <c:layout>
        <c:manualLayout>
          <c:layoutTarget val="inner"/>
          <c:xMode val="edge"/>
          <c:yMode val="edge"/>
          <c:x val="0.27645713035870517"/>
          <c:y val="0.19527777777777777"/>
          <c:w val="0.67520953630796154"/>
          <c:h val="0.69732283464566924"/>
        </c:manualLayout>
      </c:layout>
      <c:barChart>
        <c:barDir val="bar"/>
        <c:grouping val="stacked"/>
        <c:varyColors val="0"/>
        <c:ser>
          <c:idx val="0"/>
          <c:order val="0"/>
          <c:tx>
            <c:strRef>
              <c:f>Sheet7!$E$58</c:f>
              <c:strCache>
                <c:ptCount val="1"/>
                <c:pt idx="0">
                  <c:v>Sum of Civilian_Casualties</c:v>
                </c:pt>
              </c:strCache>
            </c:strRef>
          </c:tx>
          <c:spPr>
            <a:solidFill>
              <a:schemeClr val="accent1"/>
            </a:solidFill>
            <a:ln>
              <a:noFill/>
            </a:ln>
            <a:effectLst/>
          </c:spPr>
          <c:invertIfNegative val="0"/>
          <c:dLbls>
            <c:delete val="1"/>
          </c:dLbls>
          <c:cat>
            <c:strRef>
              <c:f>Sheet7!$D$59:$D$67</c:f>
              <c:strCache>
                <c:ptCount val="8"/>
                <c:pt idx="0">
                  <c:v>Taiwan Strait Tension</c:v>
                </c:pt>
                <c:pt idx="1">
                  <c:v>Russia-Ukraine War</c:v>
                </c:pt>
                <c:pt idx="2">
                  <c:v>Syria Conflict</c:v>
                </c:pt>
                <c:pt idx="3">
                  <c:v>South China Sea Tension</c:v>
                </c:pt>
                <c:pt idx="4">
                  <c:v>Israel-Hamas War</c:v>
                </c:pt>
                <c:pt idx="5">
                  <c:v>Myanmar Conflict</c:v>
                </c:pt>
                <c:pt idx="6">
                  <c:v>Yemen Conflict</c:v>
                </c:pt>
                <c:pt idx="7">
                  <c:v>Sudan Conflict</c:v>
                </c:pt>
              </c:strCache>
            </c:strRef>
          </c:cat>
          <c:val>
            <c:numRef>
              <c:f>Sheet7!$E$59:$E$67</c:f>
              <c:numCache>
                <c:formatCode>General</c:formatCode>
                <c:ptCount val="8"/>
                <c:pt idx="0">
                  <c:v>12616</c:v>
                </c:pt>
                <c:pt idx="1">
                  <c:v>14027</c:v>
                </c:pt>
                <c:pt idx="2">
                  <c:v>14838</c:v>
                </c:pt>
                <c:pt idx="3">
                  <c:v>14860</c:v>
                </c:pt>
                <c:pt idx="4">
                  <c:v>15721</c:v>
                </c:pt>
                <c:pt idx="5">
                  <c:v>16149</c:v>
                </c:pt>
                <c:pt idx="6">
                  <c:v>16468</c:v>
                </c:pt>
                <c:pt idx="7">
                  <c:v>16646</c:v>
                </c:pt>
              </c:numCache>
            </c:numRef>
          </c:val>
          <c:extLst>
            <c:ext xmlns:c16="http://schemas.microsoft.com/office/drawing/2014/chart" uri="{C3380CC4-5D6E-409C-BE32-E72D297353CC}">
              <c16:uniqueId val="{00000000-2C90-46AF-9882-FD6C75CAA138}"/>
            </c:ext>
          </c:extLst>
        </c:ser>
        <c:ser>
          <c:idx val="1"/>
          <c:order val="1"/>
          <c:tx>
            <c:strRef>
              <c:f>Sheet7!$F$58</c:f>
              <c:strCache>
                <c:ptCount val="1"/>
                <c:pt idx="0">
                  <c:v>Sum of Military_Casualties</c:v>
                </c:pt>
              </c:strCache>
            </c:strRef>
          </c:tx>
          <c:spPr>
            <a:solidFill>
              <a:schemeClr val="accent2"/>
            </a:solidFill>
            <a:ln>
              <a:noFill/>
            </a:ln>
            <a:effectLst/>
          </c:spPr>
          <c:invertIfNegative val="0"/>
          <c:dLbls>
            <c:delete val="1"/>
          </c:dLbls>
          <c:cat>
            <c:strRef>
              <c:f>Sheet7!$D$59:$D$67</c:f>
              <c:strCache>
                <c:ptCount val="8"/>
                <c:pt idx="0">
                  <c:v>Taiwan Strait Tension</c:v>
                </c:pt>
                <c:pt idx="1">
                  <c:v>Russia-Ukraine War</c:v>
                </c:pt>
                <c:pt idx="2">
                  <c:v>Syria Conflict</c:v>
                </c:pt>
                <c:pt idx="3">
                  <c:v>South China Sea Tension</c:v>
                </c:pt>
                <c:pt idx="4">
                  <c:v>Israel-Hamas War</c:v>
                </c:pt>
                <c:pt idx="5">
                  <c:v>Myanmar Conflict</c:v>
                </c:pt>
                <c:pt idx="6">
                  <c:v>Yemen Conflict</c:v>
                </c:pt>
                <c:pt idx="7">
                  <c:v>Sudan Conflict</c:v>
                </c:pt>
              </c:strCache>
            </c:strRef>
          </c:cat>
          <c:val>
            <c:numRef>
              <c:f>Sheet7!$F$59:$F$67</c:f>
              <c:numCache>
                <c:formatCode>General</c:formatCode>
                <c:ptCount val="8"/>
                <c:pt idx="0">
                  <c:v>13169</c:v>
                </c:pt>
                <c:pt idx="1">
                  <c:v>12198</c:v>
                </c:pt>
                <c:pt idx="2">
                  <c:v>11437</c:v>
                </c:pt>
                <c:pt idx="3">
                  <c:v>11826</c:v>
                </c:pt>
                <c:pt idx="4">
                  <c:v>11122</c:v>
                </c:pt>
                <c:pt idx="5">
                  <c:v>13283</c:v>
                </c:pt>
                <c:pt idx="6">
                  <c:v>12035</c:v>
                </c:pt>
                <c:pt idx="7">
                  <c:v>12384</c:v>
                </c:pt>
              </c:numCache>
            </c:numRef>
          </c:val>
          <c:extLst>
            <c:ext xmlns:c16="http://schemas.microsoft.com/office/drawing/2014/chart" uri="{C3380CC4-5D6E-409C-BE32-E72D297353CC}">
              <c16:uniqueId val="{00000001-2C90-46AF-9882-FD6C75CAA138}"/>
            </c:ext>
          </c:extLst>
        </c:ser>
        <c:dLbls>
          <c:dLblPos val="ctr"/>
          <c:showLegendKey val="0"/>
          <c:showVal val="1"/>
          <c:showCatName val="0"/>
          <c:showSerName val="0"/>
          <c:showPercent val="0"/>
          <c:showBubbleSize val="0"/>
        </c:dLbls>
        <c:gapWidth val="150"/>
        <c:overlap val="100"/>
        <c:axId val="1365354608"/>
        <c:axId val="1441229792"/>
      </c:barChart>
      <c:catAx>
        <c:axId val="136535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229792"/>
        <c:crosses val="autoZero"/>
        <c:auto val="1"/>
        <c:lblAlgn val="ctr"/>
        <c:lblOffset val="100"/>
        <c:noMultiLvlLbl val="0"/>
      </c:catAx>
      <c:valAx>
        <c:axId val="1441229792"/>
        <c:scaling>
          <c:orientation val="minMax"/>
        </c:scaling>
        <c:delete val="0"/>
        <c:axPos val="b"/>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546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[Global_Conflict_Dashboard.xlsx]Sheet7!PivotTable9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6.MILITARY</a:t>
            </a:r>
            <a:r>
              <a:rPr lang="en-US" baseline="0">
                <a:solidFill>
                  <a:srgbClr val="0070C0"/>
                </a:solidFill>
              </a:rPr>
              <a:t> SPENDING BY REGION</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Sheet7!$B$70</c:f>
              <c:strCache>
                <c:ptCount val="1"/>
                <c:pt idx="0">
                  <c:v>Total</c:v>
                </c:pt>
              </c:strCache>
            </c:strRef>
          </c:tx>
          <c:spPr>
            <a:solidFill>
              <a:schemeClr val="accent1"/>
            </a:solidFill>
            <a:ln>
              <a:noFill/>
            </a:ln>
            <a:effectLst/>
          </c:spPr>
          <c:invertIfNegative val="0"/>
          <c:cat>
            <c:strRef>
              <c:f>Sheet7!$A$71:$A$75</c:f>
              <c:strCache>
                <c:ptCount val="4"/>
                <c:pt idx="0">
                  <c:v>Middle East</c:v>
                </c:pt>
                <c:pt idx="1">
                  <c:v>Asia</c:v>
                </c:pt>
                <c:pt idx="2">
                  <c:v>Europe</c:v>
                </c:pt>
                <c:pt idx="3">
                  <c:v>Africa</c:v>
                </c:pt>
              </c:strCache>
            </c:strRef>
          </c:cat>
          <c:val>
            <c:numRef>
              <c:f>Sheet7!$B$71:$B$75</c:f>
              <c:numCache>
                <c:formatCode>General</c:formatCode>
                <c:ptCount val="4"/>
                <c:pt idx="0">
                  <c:v>619276.1</c:v>
                </c:pt>
                <c:pt idx="1">
                  <c:v>579292.30000000016</c:v>
                </c:pt>
                <c:pt idx="2">
                  <c:v>190768.40000000002</c:v>
                </c:pt>
                <c:pt idx="3">
                  <c:v>175227.1</c:v>
                </c:pt>
              </c:numCache>
            </c:numRef>
          </c:val>
          <c:extLst>
            <c:ext xmlns:c16="http://schemas.microsoft.com/office/drawing/2014/chart" uri="{C3380CC4-5D6E-409C-BE32-E72D297353CC}">
              <c16:uniqueId val="{00000000-CD0A-418D-AB98-21E6164C5697}"/>
            </c:ext>
          </c:extLst>
        </c:ser>
        <c:dLbls>
          <c:showLegendKey val="0"/>
          <c:showVal val="0"/>
          <c:showCatName val="0"/>
          <c:showSerName val="0"/>
          <c:showPercent val="0"/>
          <c:showBubbleSize val="0"/>
        </c:dLbls>
        <c:gapWidth val="219"/>
        <c:overlap val="-27"/>
        <c:axId val="1747041840"/>
        <c:axId val="1747040880"/>
      </c:barChart>
      <c:catAx>
        <c:axId val="174704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040880"/>
        <c:crosses val="autoZero"/>
        <c:auto val="1"/>
        <c:lblAlgn val="ctr"/>
        <c:lblOffset val="100"/>
        <c:noMultiLvlLbl val="0"/>
      </c:catAx>
      <c:valAx>
        <c:axId val="1747040880"/>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04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91440</xdr:rowOff>
    </xdr:from>
    <xdr:to>
      <xdr:col>7</xdr:col>
      <xdr:colOff>259080</xdr:colOff>
      <xdr:row>16</xdr:row>
      <xdr:rowOff>167640</xdr:rowOff>
    </xdr:to>
    <xdr:graphicFrame macro="">
      <xdr:nvGraphicFramePr>
        <xdr:cNvPr id="2" name="Chart 1">
          <a:extLst>
            <a:ext uri="{FF2B5EF4-FFF2-40B4-BE49-F238E27FC236}">
              <a16:creationId xmlns:a16="http://schemas.microsoft.com/office/drawing/2014/main" id="{EE2AA459-6A97-454B-9906-404DDBD45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594360</xdr:colOff>
      <xdr:row>2</xdr:row>
      <xdr:rowOff>45720</xdr:rowOff>
    </xdr:from>
    <xdr:to>
      <xdr:col>15</xdr:col>
      <xdr:colOff>556260</xdr:colOff>
      <xdr:row>17</xdr:row>
      <xdr:rowOff>7620</xdr:rowOff>
    </xdr:to>
    <xdr:graphicFrame macro="">
      <xdr:nvGraphicFramePr>
        <xdr:cNvPr id="3" name="Chart 2">
          <a:extLst>
            <a:ext uri="{FF2B5EF4-FFF2-40B4-BE49-F238E27FC236}">
              <a16:creationId xmlns:a16="http://schemas.microsoft.com/office/drawing/2014/main" id="{9EB32A60-13F4-4B56-AA30-71CF30979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6</xdr:col>
      <xdr:colOff>525780</xdr:colOff>
      <xdr:row>35</xdr:row>
      <xdr:rowOff>30480</xdr:rowOff>
    </xdr:to>
    <xdr:graphicFrame macro="">
      <xdr:nvGraphicFramePr>
        <xdr:cNvPr id="4" name="Chart 3">
          <a:extLst>
            <a:ext uri="{FF2B5EF4-FFF2-40B4-BE49-F238E27FC236}">
              <a16:creationId xmlns:a16="http://schemas.microsoft.com/office/drawing/2014/main" id="{46608635-77A1-4353-8E09-8F1F34E0A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20</xdr:row>
      <xdr:rowOff>0</xdr:rowOff>
    </xdr:from>
    <xdr:to>
      <xdr:col>15</xdr:col>
      <xdr:colOff>373380</xdr:colOff>
      <xdr:row>35</xdr:row>
      <xdr:rowOff>83820</xdr:rowOff>
    </xdr:to>
    <xdr:graphicFrame macro="">
      <xdr:nvGraphicFramePr>
        <xdr:cNvPr id="5" name="Chart 4">
          <a:extLst>
            <a:ext uri="{FF2B5EF4-FFF2-40B4-BE49-F238E27FC236}">
              <a16:creationId xmlns:a16="http://schemas.microsoft.com/office/drawing/2014/main" id="{0AC38A6A-9AA9-4A64-BA8C-67F9061A8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0</xdr:rowOff>
    </xdr:from>
    <xdr:to>
      <xdr:col>7</xdr:col>
      <xdr:colOff>304800</xdr:colOff>
      <xdr:row>53</xdr:row>
      <xdr:rowOff>0</xdr:rowOff>
    </xdr:to>
    <xdr:graphicFrame macro="">
      <xdr:nvGraphicFramePr>
        <xdr:cNvPr id="6" name="Chart 5">
          <a:extLst>
            <a:ext uri="{FF2B5EF4-FFF2-40B4-BE49-F238E27FC236}">
              <a16:creationId xmlns:a16="http://schemas.microsoft.com/office/drawing/2014/main" id="{E4CD4A7A-28E5-4731-9D57-3C6EC94B5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38</xdr:row>
      <xdr:rowOff>0</xdr:rowOff>
    </xdr:from>
    <xdr:to>
      <xdr:col>15</xdr:col>
      <xdr:colOff>304800</xdr:colOff>
      <xdr:row>53</xdr:row>
      <xdr:rowOff>0</xdr:rowOff>
    </xdr:to>
    <xdr:graphicFrame macro="">
      <xdr:nvGraphicFramePr>
        <xdr:cNvPr id="7" name="Chart 6">
          <a:extLst>
            <a:ext uri="{FF2B5EF4-FFF2-40B4-BE49-F238E27FC236}">
              <a16:creationId xmlns:a16="http://schemas.microsoft.com/office/drawing/2014/main" id="{0C88E416-9C16-42BA-AE30-3307D5666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487680</xdr:colOff>
      <xdr:row>55</xdr:row>
      <xdr:rowOff>171450</xdr:rowOff>
    </xdr:from>
    <xdr:to>
      <xdr:col>7</xdr:col>
      <xdr:colOff>297180</xdr:colOff>
      <xdr:row>61</xdr:row>
      <xdr:rowOff>91440</xdr:rowOff>
    </xdr:to>
    <xdr:sp macro="" textlink="">
      <xdr:nvSpPr>
        <xdr:cNvPr id="12" name="TextBox 11">
          <a:extLst>
            <a:ext uri="{FF2B5EF4-FFF2-40B4-BE49-F238E27FC236}">
              <a16:creationId xmlns:a16="http://schemas.microsoft.com/office/drawing/2014/main" id="{4204F384-7BFB-EA80-3CA2-5523E37C4CAA}"/>
            </a:ext>
          </a:extLst>
        </xdr:cNvPr>
        <xdr:cNvSpPr txBox="1"/>
      </xdr:nvSpPr>
      <xdr:spPr>
        <a:xfrm>
          <a:off x="1706880" y="10229850"/>
          <a:ext cx="2857500" cy="1017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Total Military</a:t>
          </a:r>
          <a:r>
            <a:rPr lang="en-IN" sz="1800" baseline="0"/>
            <a:t> Spending </a:t>
          </a:r>
          <a:endParaRPr lang="en-IN" sz="1800"/>
        </a:p>
      </xdr:txBody>
    </xdr:sp>
    <xdr:clientData/>
  </xdr:twoCellAnchor>
  <xdr:twoCellAnchor>
    <xdr:from>
      <xdr:col>3</xdr:col>
      <xdr:colOff>45720</xdr:colOff>
      <xdr:row>57</xdr:row>
      <xdr:rowOff>175260</xdr:rowOff>
    </xdr:from>
    <xdr:to>
      <xdr:col>7</xdr:col>
      <xdr:colOff>175260</xdr:colOff>
      <xdr:row>60</xdr:row>
      <xdr:rowOff>137160</xdr:rowOff>
    </xdr:to>
    <xdr:sp macro="" textlink="'working sheet'!L2">
      <xdr:nvSpPr>
        <xdr:cNvPr id="13" name="Rectangle 12">
          <a:extLst>
            <a:ext uri="{FF2B5EF4-FFF2-40B4-BE49-F238E27FC236}">
              <a16:creationId xmlns:a16="http://schemas.microsoft.com/office/drawing/2014/main" id="{80BF4779-F424-3B6A-A216-41FD211A9150}"/>
            </a:ext>
          </a:extLst>
        </xdr:cNvPr>
        <xdr:cNvSpPr/>
      </xdr:nvSpPr>
      <xdr:spPr>
        <a:xfrm>
          <a:off x="1874520" y="10599420"/>
          <a:ext cx="2567940" cy="5105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50340DD-C586-4574-B6BC-F20B6B70FFD3}" type="TxLink">
            <a:rPr lang="en-US" sz="1600" b="0" i="0" u="none" strike="noStrike">
              <a:solidFill>
                <a:srgbClr val="000000"/>
              </a:solidFill>
              <a:latin typeface="Calibri"/>
              <a:ea typeface="Calibri"/>
              <a:cs typeface="Calibri"/>
            </a:rPr>
            <a:pPr algn="ctr"/>
            <a:t>1564563.9</a:t>
          </a:fld>
          <a:endParaRPr lang="en-IN" sz="1600"/>
        </a:p>
      </xdr:txBody>
    </xdr:sp>
    <xdr:clientData/>
  </xdr:twoCellAnchor>
  <xdr:twoCellAnchor>
    <xdr:from>
      <xdr:col>8</xdr:col>
      <xdr:colOff>0</xdr:colOff>
      <xdr:row>56</xdr:row>
      <xdr:rowOff>7620</xdr:rowOff>
    </xdr:from>
    <xdr:to>
      <xdr:col>12</xdr:col>
      <xdr:colOff>335280</xdr:colOff>
      <xdr:row>61</xdr:row>
      <xdr:rowOff>76200</xdr:rowOff>
    </xdr:to>
    <xdr:sp macro="" textlink="">
      <xdr:nvSpPr>
        <xdr:cNvPr id="14" name="TextBox 13">
          <a:extLst>
            <a:ext uri="{FF2B5EF4-FFF2-40B4-BE49-F238E27FC236}">
              <a16:creationId xmlns:a16="http://schemas.microsoft.com/office/drawing/2014/main" id="{19E5E4F3-2F66-629A-AE9F-35C94E6152A4}"/>
            </a:ext>
          </a:extLst>
        </xdr:cNvPr>
        <xdr:cNvSpPr txBox="1"/>
      </xdr:nvSpPr>
      <xdr:spPr>
        <a:xfrm>
          <a:off x="4876800" y="10248900"/>
          <a:ext cx="2773680" cy="982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Total Refugees Displaced</a:t>
          </a:r>
        </a:p>
      </xdr:txBody>
    </xdr:sp>
    <xdr:clientData/>
  </xdr:twoCellAnchor>
  <xdr:twoCellAnchor>
    <xdr:from>
      <xdr:col>8</xdr:col>
      <xdr:colOff>182880</xdr:colOff>
      <xdr:row>57</xdr:row>
      <xdr:rowOff>175260</xdr:rowOff>
    </xdr:from>
    <xdr:to>
      <xdr:col>12</xdr:col>
      <xdr:colOff>99060</xdr:colOff>
      <xdr:row>60</xdr:row>
      <xdr:rowOff>129540</xdr:rowOff>
    </xdr:to>
    <xdr:sp macro="" textlink="'working sheet'!M2">
      <xdr:nvSpPr>
        <xdr:cNvPr id="16" name="Rectangle 15">
          <a:extLst>
            <a:ext uri="{FF2B5EF4-FFF2-40B4-BE49-F238E27FC236}">
              <a16:creationId xmlns:a16="http://schemas.microsoft.com/office/drawing/2014/main" id="{B3283E81-ABD9-2048-2796-A4428B216B6B}"/>
            </a:ext>
          </a:extLst>
        </xdr:cNvPr>
        <xdr:cNvSpPr/>
      </xdr:nvSpPr>
      <xdr:spPr>
        <a:xfrm>
          <a:off x="5059680" y="10599420"/>
          <a:ext cx="2354580" cy="5029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43906EE-786B-41A8-AA5F-FDD486280914}" type="TxLink">
            <a:rPr lang="en-US" sz="1400" b="0" i="0" u="none" strike="noStrike">
              <a:solidFill>
                <a:srgbClr val="000000"/>
              </a:solidFill>
              <a:latin typeface="Calibri"/>
              <a:ea typeface="Calibri"/>
              <a:cs typeface="Calibri"/>
            </a:rPr>
            <a:pPr algn="ctr"/>
            <a:t>6026858</a:t>
          </a:fld>
          <a:endParaRPr lang="en-IN" sz="1400"/>
        </a:p>
      </xdr:txBody>
    </xdr:sp>
    <xdr:clientData/>
  </xdr:twoCellAnchor>
  <xdr:twoCellAnchor>
    <xdr:from>
      <xdr:col>12</xdr:col>
      <xdr:colOff>563880</xdr:colOff>
      <xdr:row>56</xdr:row>
      <xdr:rowOff>7620</xdr:rowOff>
    </xdr:from>
    <xdr:to>
      <xdr:col>17</xdr:col>
      <xdr:colOff>106680</xdr:colOff>
      <xdr:row>61</xdr:row>
      <xdr:rowOff>38100</xdr:rowOff>
    </xdr:to>
    <xdr:sp macro="" textlink="">
      <xdr:nvSpPr>
        <xdr:cNvPr id="17" name="TextBox 16">
          <a:extLst>
            <a:ext uri="{FF2B5EF4-FFF2-40B4-BE49-F238E27FC236}">
              <a16:creationId xmlns:a16="http://schemas.microsoft.com/office/drawing/2014/main" id="{4A427459-C464-3208-C08F-47F4E0149F23}"/>
            </a:ext>
          </a:extLst>
        </xdr:cNvPr>
        <xdr:cNvSpPr txBox="1"/>
      </xdr:nvSpPr>
      <xdr:spPr>
        <a:xfrm>
          <a:off x="7879080" y="10248900"/>
          <a:ext cx="259080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Total Casualties</a:t>
          </a:r>
        </a:p>
      </xdr:txBody>
    </xdr:sp>
    <xdr:clientData/>
  </xdr:twoCellAnchor>
  <xdr:twoCellAnchor>
    <xdr:from>
      <xdr:col>13</xdr:col>
      <xdr:colOff>129540</xdr:colOff>
      <xdr:row>58</xdr:row>
      <xdr:rowOff>30480</xdr:rowOff>
    </xdr:from>
    <xdr:to>
      <xdr:col>16</xdr:col>
      <xdr:colOff>495300</xdr:colOff>
      <xdr:row>60</xdr:row>
      <xdr:rowOff>129540</xdr:rowOff>
    </xdr:to>
    <xdr:sp macro="" textlink="'working sheet'!O2">
      <xdr:nvSpPr>
        <xdr:cNvPr id="18" name="Rectangle 17">
          <a:extLst>
            <a:ext uri="{FF2B5EF4-FFF2-40B4-BE49-F238E27FC236}">
              <a16:creationId xmlns:a16="http://schemas.microsoft.com/office/drawing/2014/main" id="{DE4683D3-7948-E10E-12C8-F136BC3C63EF}"/>
            </a:ext>
          </a:extLst>
        </xdr:cNvPr>
        <xdr:cNvSpPr/>
      </xdr:nvSpPr>
      <xdr:spPr>
        <a:xfrm>
          <a:off x="8054340" y="10637520"/>
          <a:ext cx="2194560" cy="4648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247ADEE-C57C-4B8E-8FD0-A5387754CDDA}" type="TxLink">
            <a:rPr lang="en-US" sz="1600" b="0" i="0" u="none" strike="noStrike">
              <a:solidFill>
                <a:srgbClr val="000000"/>
              </a:solidFill>
              <a:latin typeface="Calibri"/>
              <a:ea typeface="Calibri"/>
              <a:cs typeface="Calibri"/>
            </a:rPr>
            <a:pPr algn="ctr"/>
            <a:t>218779</a:t>
          </a:fld>
          <a:endParaRPr lang="en-IN" sz="1600"/>
        </a:p>
      </xdr:txBody>
    </xdr:sp>
    <xdr:clientData/>
  </xdr:twoCellAnchor>
  <xdr:twoCellAnchor>
    <xdr:from>
      <xdr:col>17</xdr:col>
      <xdr:colOff>426720</xdr:colOff>
      <xdr:row>56</xdr:row>
      <xdr:rowOff>0</xdr:rowOff>
    </xdr:from>
    <xdr:to>
      <xdr:col>21</xdr:col>
      <xdr:colOff>510540</xdr:colOff>
      <xdr:row>61</xdr:row>
      <xdr:rowOff>0</xdr:rowOff>
    </xdr:to>
    <xdr:sp macro="" textlink="">
      <xdr:nvSpPr>
        <xdr:cNvPr id="19" name="TextBox 18">
          <a:extLst>
            <a:ext uri="{FF2B5EF4-FFF2-40B4-BE49-F238E27FC236}">
              <a16:creationId xmlns:a16="http://schemas.microsoft.com/office/drawing/2014/main" id="{82AE5384-2C27-B5BF-B403-E6E7C9C5AB3E}"/>
            </a:ext>
          </a:extLst>
        </xdr:cNvPr>
        <xdr:cNvSpPr txBox="1"/>
      </xdr:nvSpPr>
      <xdr:spPr>
        <a:xfrm>
          <a:off x="10789920" y="10241280"/>
          <a:ext cx="252222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Total Foreign</a:t>
          </a:r>
          <a:r>
            <a:rPr lang="en-IN" sz="1800" baseline="0"/>
            <a:t> Aid</a:t>
          </a:r>
          <a:endParaRPr lang="en-IN" sz="1800"/>
        </a:p>
      </xdr:txBody>
    </xdr:sp>
    <xdr:clientData/>
  </xdr:twoCellAnchor>
  <xdr:twoCellAnchor>
    <xdr:from>
      <xdr:col>17</xdr:col>
      <xdr:colOff>563880</xdr:colOff>
      <xdr:row>58</xdr:row>
      <xdr:rowOff>0</xdr:rowOff>
    </xdr:from>
    <xdr:to>
      <xdr:col>21</xdr:col>
      <xdr:colOff>373380</xdr:colOff>
      <xdr:row>60</xdr:row>
      <xdr:rowOff>91440</xdr:rowOff>
    </xdr:to>
    <xdr:sp macro="" textlink="'working sheet'!N2">
      <xdr:nvSpPr>
        <xdr:cNvPr id="20" name="Rectangle 19">
          <a:extLst>
            <a:ext uri="{FF2B5EF4-FFF2-40B4-BE49-F238E27FC236}">
              <a16:creationId xmlns:a16="http://schemas.microsoft.com/office/drawing/2014/main" id="{90E0229B-E483-7255-4C40-10F23DFE41E9}"/>
            </a:ext>
          </a:extLst>
        </xdr:cNvPr>
        <xdr:cNvSpPr/>
      </xdr:nvSpPr>
      <xdr:spPr>
        <a:xfrm>
          <a:off x="10927080" y="10607040"/>
          <a:ext cx="2247900" cy="457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9D1BB71-44C6-46C2-9AE6-68DC809CA297}" type="TxLink">
            <a:rPr lang="en-US" sz="1400" b="0" i="0" u="none" strike="noStrike">
              <a:solidFill>
                <a:srgbClr val="000000"/>
              </a:solidFill>
              <a:latin typeface="Calibri"/>
              <a:ea typeface="Calibri"/>
              <a:cs typeface="Calibri"/>
            </a:rPr>
            <a:pPr algn="ctr"/>
            <a:t>393267.3</a:t>
          </a:fld>
          <a:endParaRPr lang="en-IN" sz="1400"/>
        </a:p>
      </xdr:txBody>
    </xdr:sp>
    <xdr:clientData/>
  </xdr:twoCellAnchor>
  <xdr:twoCellAnchor editAs="oneCell">
    <xdr:from>
      <xdr:col>16</xdr:col>
      <xdr:colOff>510540</xdr:colOff>
      <xdr:row>28</xdr:row>
      <xdr:rowOff>76201</xdr:rowOff>
    </xdr:from>
    <xdr:to>
      <xdr:col>19</xdr:col>
      <xdr:colOff>510540</xdr:colOff>
      <xdr:row>32</xdr:row>
      <xdr:rowOff>1</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E7EAE5BF-D28D-120F-76AC-FE8F1249C2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64140" y="5196841"/>
              <a:ext cx="182880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34</xdr:row>
      <xdr:rowOff>15241</xdr:rowOff>
    </xdr:from>
    <xdr:to>
      <xdr:col>19</xdr:col>
      <xdr:colOff>464820</xdr:colOff>
      <xdr:row>37</xdr:row>
      <xdr:rowOff>30481</xdr:rowOff>
    </xdr:to>
    <mc:AlternateContent xmlns:mc="http://schemas.openxmlformats.org/markup-compatibility/2006">
      <mc:Choice xmlns:a14="http://schemas.microsoft.com/office/drawing/2010/main" Requires="a14">
        <xdr:graphicFrame macro="">
          <xdr:nvGraphicFramePr>
            <xdr:cNvPr id="23" name="Conflict">
              <a:extLst>
                <a:ext uri="{FF2B5EF4-FFF2-40B4-BE49-F238E27FC236}">
                  <a16:creationId xmlns:a16="http://schemas.microsoft.com/office/drawing/2014/main" id="{9832F0AE-C376-7D48-2195-F7D346984C9D}"/>
                </a:ext>
              </a:extLst>
            </xdr:cNvPr>
            <xdr:cNvGraphicFramePr/>
          </xdr:nvGraphicFramePr>
          <xdr:xfrm>
            <a:off x="0" y="0"/>
            <a:ext cx="0" cy="0"/>
          </xdr:xfrm>
          <a:graphic>
            <a:graphicData uri="http://schemas.microsoft.com/office/drawing/2010/slicer">
              <sle:slicer xmlns:sle="http://schemas.microsoft.com/office/drawing/2010/slicer" name="Conflict"/>
            </a:graphicData>
          </a:graphic>
        </xdr:graphicFrame>
      </mc:Choice>
      <mc:Fallback>
        <xdr:sp macro="" textlink="">
          <xdr:nvSpPr>
            <xdr:cNvPr id="0" name=""/>
            <xdr:cNvSpPr>
              <a:spLocks noTextEdit="1"/>
            </xdr:cNvSpPr>
          </xdr:nvSpPr>
          <xdr:spPr>
            <a:xfrm>
              <a:off x="10218420" y="6233161"/>
              <a:ext cx="182880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68580</xdr:colOff>
      <xdr:row>3</xdr:row>
      <xdr:rowOff>129540</xdr:rowOff>
    </xdr:to>
    <xdr:pic>
      <xdr:nvPicPr>
        <xdr:cNvPr id="3" name="Graphic 2" descr="Earth Globe - Asia with solid fill">
          <a:extLst>
            <a:ext uri="{FF2B5EF4-FFF2-40B4-BE49-F238E27FC236}">
              <a16:creationId xmlns:a16="http://schemas.microsoft.com/office/drawing/2014/main" id="{22E0C682-C4D6-26E0-1397-EBD59C2DC4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678180" cy="678180"/>
        </a:xfrm>
        <a:prstGeom prst="rect">
          <a:avLst/>
        </a:prstGeom>
      </xdr:spPr>
    </xdr:pic>
    <xdr:clientData/>
  </xdr:twoCellAnchor>
  <xdr:twoCellAnchor editAs="oneCell">
    <xdr:from>
      <xdr:col>0</xdr:col>
      <xdr:colOff>26430</xdr:colOff>
      <xdr:row>7</xdr:row>
      <xdr:rowOff>42150</xdr:rowOff>
    </xdr:from>
    <xdr:to>
      <xdr:col>3</xdr:col>
      <xdr:colOff>163975</xdr:colOff>
      <xdr:row>14</xdr:row>
      <xdr:rowOff>125393</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E6EB68D7-20B6-4DA1-959D-7D0E025E0E6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6430" y="1325011"/>
              <a:ext cx="1960558" cy="1366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48228</xdr:colOff>
      <xdr:row>15</xdr:row>
      <xdr:rowOff>53919</xdr:rowOff>
    </xdr:from>
    <xdr:to>
      <xdr:col>3</xdr:col>
      <xdr:colOff>57873</xdr:colOff>
      <xdr:row>23</xdr:row>
      <xdr:rowOff>9645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2A4365C0-308C-40F1-B011-B5B66A0D499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8228" y="2802906"/>
              <a:ext cx="1832658" cy="1421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57875</xdr:colOff>
      <xdr:row>23</xdr:row>
      <xdr:rowOff>115842</xdr:rowOff>
    </xdr:from>
    <xdr:to>
      <xdr:col>3</xdr:col>
      <xdr:colOff>19291</xdr:colOff>
      <xdr:row>37</xdr:row>
      <xdr:rowOff>48228</xdr:rowOff>
    </xdr:to>
    <mc:AlternateContent xmlns:mc="http://schemas.openxmlformats.org/markup-compatibility/2006">
      <mc:Choice xmlns:a14="http://schemas.microsoft.com/office/drawing/2010/main" Requires="a14">
        <xdr:graphicFrame macro="">
          <xdr:nvGraphicFramePr>
            <xdr:cNvPr id="6" name="Conflict 1">
              <a:extLst>
                <a:ext uri="{FF2B5EF4-FFF2-40B4-BE49-F238E27FC236}">
                  <a16:creationId xmlns:a16="http://schemas.microsoft.com/office/drawing/2014/main" id="{E75066FC-35B1-4129-A179-0A0B7DB39B52}"/>
                </a:ext>
              </a:extLst>
            </xdr:cNvPr>
            <xdr:cNvGraphicFramePr/>
          </xdr:nvGraphicFramePr>
          <xdr:xfrm>
            <a:off x="0" y="0"/>
            <a:ext cx="0" cy="0"/>
          </xdr:xfrm>
          <a:graphic>
            <a:graphicData uri="http://schemas.microsoft.com/office/drawing/2010/slicer">
              <sle:slicer xmlns:sle="http://schemas.microsoft.com/office/drawing/2010/slicer" name="Conflict 1"/>
            </a:graphicData>
          </a:graphic>
        </xdr:graphicFrame>
      </mc:Choice>
      <mc:Fallback>
        <xdr:sp macro="" textlink="">
          <xdr:nvSpPr>
            <xdr:cNvPr id="0" name=""/>
            <xdr:cNvSpPr>
              <a:spLocks noTextEdit="1"/>
            </xdr:cNvSpPr>
          </xdr:nvSpPr>
          <xdr:spPr>
            <a:xfrm>
              <a:off x="57875" y="4330956"/>
              <a:ext cx="1784429" cy="2498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41002</xdr:colOff>
      <xdr:row>6</xdr:row>
      <xdr:rowOff>18143</xdr:rowOff>
    </xdr:from>
    <xdr:to>
      <xdr:col>8</xdr:col>
      <xdr:colOff>480785</xdr:colOff>
      <xdr:row>8</xdr:row>
      <xdr:rowOff>115746</xdr:rowOff>
    </xdr:to>
    <xdr:sp macro="" textlink="">
      <xdr:nvSpPr>
        <xdr:cNvPr id="10" name="TextBox 9">
          <a:extLst>
            <a:ext uri="{FF2B5EF4-FFF2-40B4-BE49-F238E27FC236}">
              <a16:creationId xmlns:a16="http://schemas.microsoft.com/office/drawing/2014/main" id="{939E03C1-1061-216A-A4CB-B757A69D005E}"/>
            </a:ext>
          </a:extLst>
        </xdr:cNvPr>
        <xdr:cNvSpPr txBox="1"/>
      </xdr:nvSpPr>
      <xdr:spPr>
        <a:xfrm>
          <a:off x="2471686" y="1117738"/>
          <a:ext cx="2870466" cy="464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Military Spending </a:t>
          </a:r>
        </a:p>
      </xdr:txBody>
    </xdr:sp>
    <xdr:clientData/>
  </xdr:twoCellAnchor>
  <xdr:twoCellAnchor>
    <xdr:from>
      <xdr:col>4</xdr:col>
      <xdr:colOff>371928</xdr:colOff>
      <xdr:row>7</xdr:row>
      <xdr:rowOff>108859</xdr:rowOff>
    </xdr:from>
    <xdr:to>
      <xdr:col>7</xdr:col>
      <xdr:colOff>540152</xdr:colOff>
      <xdr:row>8</xdr:row>
      <xdr:rowOff>86810</xdr:rowOff>
    </xdr:to>
    <xdr:sp macro="" textlink="'working sheet'!L2">
      <xdr:nvSpPr>
        <xdr:cNvPr id="11" name="Rectangle 10">
          <a:extLst>
            <a:ext uri="{FF2B5EF4-FFF2-40B4-BE49-F238E27FC236}">
              <a16:creationId xmlns:a16="http://schemas.microsoft.com/office/drawing/2014/main" id="{C51AC947-BAF5-4C90-905D-E90F6EA4B234}"/>
            </a:ext>
          </a:extLst>
        </xdr:cNvPr>
        <xdr:cNvSpPr/>
      </xdr:nvSpPr>
      <xdr:spPr>
        <a:xfrm>
          <a:off x="2802612" y="1391720"/>
          <a:ext cx="1991236" cy="16121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50340DD-C586-4574-B6BC-F20B6B70FFD3}" type="TxLink">
            <a:rPr lang="en-US" sz="1600" b="0" i="0" u="none" strike="noStrike">
              <a:solidFill>
                <a:srgbClr val="000000"/>
              </a:solidFill>
              <a:latin typeface="Calibri"/>
              <a:ea typeface="Calibri"/>
              <a:cs typeface="Calibri"/>
            </a:rPr>
            <a:pPr algn="ctr"/>
            <a:t>1564563.9</a:t>
          </a:fld>
          <a:endParaRPr lang="en-IN" sz="1600"/>
        </a:p>
      </xdr:txBody>
    </xdr:sp>
    <xdr:clientData/>
  </xdr:twoCellAnchor>
  <xdr:twoCellAnchor>
    <xdr:from>
      <xdr:col>9</xdr:col>
      <xdr:colOff>571501</xdr:colOff>
      <xdr:row>6</xdr:row>
      <xdr:rowOff>9072</xdr:rowOff>
    </xdr:from>
    <xdr:to>
      <xdr:col>14</xdr:col>
      <xdr:colOff>562429</xdr:colOff>
      <xdr:row>8</xdr:row>
      <xdr:rowOff>154329</xdr:rowOff>
    </xdr:to>
    <xdr:sp macro="" textlink="">
      <xdr:nvSpPr>
        <xdr:cNvPr id="12" name="TextBox 11">
          <a:extLst>
            <a:ext uri="{FF2B5EF4-FFF2-40B4-BE49-F238E27FC236}">
              <a16:creationId xmlns:a16="http://schemas.microsoft.com/office/drawing/2014/main" id="{3BA609B4-1792-E921-87A1-6D73B79D39D0}"/>
            </a:ext>
          </a:extLst>
        </xdr:cNvPr>
        <xdr:cNvSpPr txBox="1"/>
      </xdr:nvSpPr>
      <xdr:spPr>
        <a:xfrm>
          <a:off x="6040539" y="1108667"/>
          <a:ext cx="3029282" cy="511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Refugees displaced</a:t>
          </a:r>
        </a:p>
      </xdr:txBody>
    </xdr:sp>
    <xdr:clientData/>
  </xdr:twoCellAnchor>
  <xdr:twoCellAnchor>
    <xdr:from>
      <xdr:col>10</xdr:col>
      <xdr:colOff>208642</xdr:colOff>
      <xdr:row>7</xdr:row>
      <xdr:rowOff>87450</xdr:rowOff>
    </xdr:from>
    <xdr:to>
      <xdr:col>14</xdr:col>
      <xdr:colOff>57874</xdr:colOff>
      <xdr:row>8</xdr:row>
      <xdr:rowOff>106101</xdr:rowOff>
    </xdr:to>
    <xdr:sp macro="" textlink="'working sheet'!M2">
      <xdr:nvSpPr>
        <xdr:cNvPr id="14" name="Rectangle 13">
          <a:extLst>
            <a:ext uri="{FF2B5EF4-FFF2-40B4-BE49-F238E27FC236}">
              <a16:creationId xmlns:a16="http://schemas.microsoft.com/office/drawing/2014/main" id="{21B628A5-AAFE-4E04-8DDC-9779BFB919BB}"/>
            </a:ext>
          </a:extLst>
        </xdr:cNvPr>
        <xdr:cNvSpPr/>
      </xdr:nvSpPr>
      <xdr:spPr>
        <a:xfrm>
          <a:off x="6285351" y="1370311"/>
          <a:ext cx="2279915" cy="20191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43906EE-786B-41A8-AA5F-FDD486280914}" type="TxLink">
            <a:rPr lang="en-US" sz="1400" b="0" i="0" u="none" strike="noStrike">
              <a:solidFill>
                <a:srgbClr val="000000"/>
              </a:solidFill>
              <a:latin typeface="Calibri"/>
              <a:ea typeface="Calibri"/>
              <a:cs typeface="Calibri"/>
            </a:rPr>
            <a:pPr algn="ctr"/>
            <a:t>6026858</a:t>
          </a:fld>
          <a:endParaRPr lang="en-IN" sz="1400"/>
        </a:p>
      </xdr:txBody>
    </xdr:sp>
    <xdr:clientData/>
  </xdr:twoCellAnchor>
  <xdr:twoCellAnchor>
    <xdr:from>
      <xdr:col>16</xdr:col>
      <xdr:colOff>127000</xdr:colOff>
      <xdr:row>6</xdr:row>
      <xdr:rowOff>18144</xdr:rowOff>
    </xdr:from>
    <xdr:to>
      <xdr:col>20</xdr:col>
      <xdr:colOff>589643</xdr:colOff>
      <xdr:row>8</xdr:row>
      <xdr:rowOff>144684</xdr:rowOff>
    </xdr:to>
    <xdr:sp macro="" textlink="">
      <xdr:nvSpPr>
        <xdr:cNvPr id="15" name="TextBox 14">
          <a:extLst>
            <a:ext uri="{FF2B5EF4-FFF2-40B4-BE49-F238E27FC236}">
              <a16:creationId xmlns:a16="http://schemas.microsoft.com/office/drawing/2014/main" id="{0D7E5349-56A8-415E-46CA-0BF5B1CA275E}"/>
            </a:ext>
          </a:extLst>
        </xdr:cNvPr>
        <xdr:cNvSpPr txBox="1"/>
      </xdr:nvSpPr>
      <xdr:spPr>
        <a:xfrm>
          <a:off x="9849734" y="1117739"/>
          <a:ext cx="2893327" cy="4930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Casualties</a:t>
          </a:r>
        </a:p>
      </xdr:txBody>
    </xdr:sp>
    <xdr:clientData/>
  </xdr:twoCellAnchor>
  <xdr:twoCellAnchor>
    <xdr:from>
      <xdr:col>17</xdr:col>
      <xdr:colOff>41727</xdr:colOff>
      <xdr:row>7</xdr:row>
      <xdr:rowOff>81280</xdr:rowOff>
    </xdr:from>
    <xdr:to>
      <xdr:col>20</xdr:col>
      <xdr:colOff>106101</xdr:colOff>
      <xdr:row>8</xdr:row>
      <xdr:rowOff>106101</xdr:rowOff>
    </xdr:to>
    <xdr:sp macro="" textlink="'working sheet'!O2">
      <xdr:nvSpPr>
        <xdr:cNvPr id="16" name="Rectangle 15">
          <a:extLst>
            <a:ext uri="{FF2B5EF4-FFF2-40B4-BE49-F238E27FC236}">
              <a16:creationId xmlns:a16="http://schemas.microsoft.com/office/drawing/2014/main" id="{92FFEAC7-BE91-44E9-90F4-8522E8DCFD06}"/>
            </a:ext>
          </a:extLst>
        </xdr:cNvPr>
        <xdr:cNvSpPr/>
      </xdr:nvSpPr>
      <xdr:spPr>
        <a:xfrm>
          <a:off x="10372132" y="1364141"/>
          <a:ext cx="1887387" cy="2080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247ADEE-C57C-4B8E-8FD0-A5387754CDDA}" type="TxLink">
            <a:rPr lang="en-US" sz="1600" b="0" i="0" u="none" strike="noStrike">
              <a:solidFill>
                <a:srgbClr val="000000"/>
              </a:solidFill>
              <a:latin typeface="Calibri"/>
              <a:ea typeface="Calibri"/>
              <a:cs typeface="Calibri"/>
            </a:rPr>
            <a:pPr algn="ctr"/>
            <a:t>218779</a:t>
          </a:fld>
          <a:endParaRPr lang="en-IN" sz="1600"/>
        </a:p>
      </xdr:txBody>
    </xdr:sp>
    <xdr:clientData/>
  </xdr:twoCellAnchor>
  <xdr:twoCellAnchor>
    <xdr:from>
      <xdr:col>22</xdr:col>
      <xdr:colOff>136071</xdr:colOff>
      <xdr:row>6</xdr:row>
      <xdr:rowOff>9072</xdr:rowOff>
    </xdr:from>
    <xdr:to>
      <xdr:col>26</xdr:col>
      <xdr:colOff>526142</xdr:colOff>
      <xdr:row>8</xdr:row>
      <xdr:rowOff>163286</xdr:rowOff>
    </xdr:to>
    <xdr:sp macro="" textlink="">
      <xdr:nvSpPr>
        <xdr:cNvPr id="18" name="TextBox 17">
          <a:extLst>
            <a:ext uri="{FF2B5EF4-FFF2-40B4-BE49-F238E27FC236}">
              <a16:creationId xmlns:a16="http://schemas.microsoft.com/office/drawing/2014/main" id="{8E40515C-A43E-AE09-01AF-5119854F09EF}"/>
            </a:ext>
          </a:extLst>
        </xdr:cNvPr>
        <xdr:cNvSpPr txBox="1"/>
      </xdr:nvSpPr>
      <xdr:spPr>
        <a:xfrm>
          <a:off x="13507357" y="1097643"/>
          <a:ext cx="2821214" cy="5170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Foreign Aid</a:t>
          </a:r>
        </a:p>
      </xdr:txBody>
    </xdr:sp>
    <xdr:clientData/>
  </xdr:twoCellAnchor>
  <xdr:twoCellAnchor>
    <xdr:from>
      <xdr:col>22</xdr:col>
      <xdr:colOff>281212</xdr:colOff>
      <xdr:row>7</xdr:row>
      <xdr:rowOff>54428</xdr:rowOff>
    </xdr:from>
    <xdr:to>
      <xdr:col>26</xdr:col>
      <xdr:colOff>417285</xdr:colOff>
      <xdr:row>8</xdr:row>
      <xdr:rowOff>136071</xdr:rowOff>
    </xdr:to>
    <xdr:sp macro="" textlink="'working sheet'!N2">
      <xdr:nvSpPr>
        <xdr:cNvPr id="19" name="Rectangle 18">
          <a:extLst>
            <a:ext uri="{FF2B5EF4-FFF2-40B4-BE49-F238E27FC236}">
              <a16:creationId xmlns:a16="http://schemas.microsoft.com/office/drawing/2014/main" id="{E6D8472E-ADEE-4B29-9573-FF4BF37B9F0C}"/>
            </a:ext>
          </a:extLst>
        </xdr:cNvPr>
        <xdr:cNvSpPr/>
      </xdr:nvSpPr>
      <xdr:spPr>
        <a:xfrm>
          <a:off x="13652498" y="1324428"/>
          <a:ext cx="2567216" cy="26307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9D1BB71-44C6-46C2-9AE6-68DC809CA297}" type="TxLink">
            <a:rPr lang="en-US" sz="1400" b="0" i="0" u="none" strike="noStrike">
              <a:solidFill>
                <a:srgbClr val="000000"/>
              </a:solidFill>
              <a:latin typeface="Calibri"/>
              <a:ea typeface="Calibri"/>
              <a:cs typeface="Calibri"/>
            </a:rPr>
            <a:pPr algn="ctr"/>
            <a:t>393267.3</a:t>
          </a:fld>
          <a:endParaRPr lang="en-IN" sz="1400"/>
        </a:p>
      </xdr:txBody>
    </xdr:sp>
    <xdr:clientData/>
  </xdr:twoCellAnchor>
  <xdr:twoCellAnchor>
    <xdr:from>
      <xdr:col>3</xdr:col>
      <xdr:colOff>540264</xdr:colOff>
      <xdr:row>9</xdr:row>
      <xdr:rowOff>47540</xdr:rowOff>
    </xdr:from>
    <xdr:to>
      <xdr:col>14</xdr:col>
      <xdr:colOff>356886</xdr:colOff>
      <xdr:row>18</xdr:row>
      <xdr:rowOff>38582</xdr:rowOff>
    </xdr:to>
    <xdr:graphicFrame macro="">
      <xdr:nvGraphicFramePr>
        <xdr:cNvPr id="20" name="Chart 19">
          <a:extLst>
            <a:ext uri="{FF2B5EF4-FFF2-40B4-BE49-F238E27FC236}">
              <a16:creationId xmlns:a16="http://schemas.microsoft.com/office/drawing/2014/main" id="{B21CFB87-810D-4FE2-9E1C-945159C23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8</xdr:row>
      <xdr:rowOff>163975</xdr:rowOff>
    </xdr:from>
    <xdr:to>
      <xdr:col>27</xdr:col>
      <xdr:colOff>516496</xdr:colOff>
      <xdr:row>18</xdr:row>
      <xdr:rowOff>9646</xdr:rowOff>
    </xdr:to>
    <xdr:graphicFrame macro="">
      <xdr:nvGraphicFramePr>
        <xdr:cNvPr id="21" name="Chart 20">
          <a:extLst>
            <a:ext uri="{FF2B5EF4-FFF2-40B4-BE49-F238E27FC236}">
              <a16:creationId xmlns:a16="http://schemas.microsoft.com/office/drawing/2014/main" id="{B64F0C5A-69A4-4A7D-AE2A-63F073AF6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511216</xdr:colOff>
      <xdr:row>18</xdr:row>
      <xdr:rowOff>77165</xdr:rowOff>
    </xdr:from>
    <xdr:to>
      <xdr:col>14</xdr:col>
      <xdr:colOff>376178</xdr:colOff>
      <xdr:row>28</xdr:row>
      <xdr:rowOff>135038</xdr:rowOff>
    </xdr:to>
    <xdr:graphicFrame macro="">
      <xdr:nvGraphicFramePr>
        <xdr:cNvPr id="22" name="Chart 21">
          <a:extLst>
            <a:ext uri="{FF2B5EF4-FFF2-40B4-BE49-F238E27FC236}">
              <a16:creationId xmlns:a16="http://schemas.microsoft.com/office/drawing/2014/main" id="{9E512EA3-9659-4485-B3C4-48C11D98F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578734</xdr:colOff>
      <xdr:row>18</xdr:row>
      <xdr:rowOff>57873</xdr:rowOff>
    </xdr:from>
    <xdr:to>
      <xdr:col>27</xdr:col>
      <xdr:colOff>549797</xdr:colOff>
      <xdr:row>28</xdr:row>
      <xdr:rowOff>77165</xdr:rowOff>
    </xdr:to>
    <xdr:graphicFrame macro="">
      <xdr:nvGraphicFramePr>
        <xdr:cNvPr id="23" name="Chart 22">
          <a:extLst>
            <a:ext uri="{FF2B5EF4-FFF2-40B4-BE49-F238E27FC236}">
              <a16:creationId xmlns:a16="http://schemas.microsoft.com/office/drawing/2014/main" id="{351D9B61-C3A0-4167-9E36-2F2E73BF0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482278</xdr:colOff>
      <xdr:row>29</xdr:row>
      <xdr:rowOff>1</xdr:rowOff>
    </xdr:from>
    <xdr:to>
      <xdr:col>14</xdr:col>
      <xdr:colOff>472633</xdr:colOff>
      <xdr:row>39</xdr:row>
      <xdr:rowOff>19291</xdr:rowOff>
    </xdr:to>
    <xdr:graphicFrame macro="">
      <xdr:nvGraphicFramePr>
        <xdr:cNvPr id="24" name="Chart 23">
          <a:extLst>
            <a:ext uri="{FF2B5EF4-FFF2-40B4-BE49-F238E27FC236}">
              <a16:creationId xmlns:a16="http://schemas.microsoft.com/office/drawing/2014/main" id="{B65EF09D-2531-4B0E-B51D-5A24097D7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559442</xdr:colOff>
      <xdr:row>28</xdr:row>
      <xdr:rowOff>154329</xdr:rowOff>
    </xdr:from>
    <xdr:to>
      <xdr:col>27</xdr:col>
      <xdr:colOff>598024</xdr:colOff>
      <xdr:row>38</xdr:row>
      <xdr:rowOff>154329</xdr:rowOff>
    </xdr:to>
    <xdr:graphicFrame macro="">
      <xdr:nvGraphicFramePr>
        <xdr:cNvPr id="25" name="Chart 24">
          <a:extLst>
            <a:ext uri="{FF2B5EF4-FFF2-40B4-BE49-F238E27FC236}">
              <a16:creationId xmlns:a16="http://schemas.microsoft.com/office/drawing/2014/main" id="{FFEF18A0-0F64-4921-B7A1-071F92BA4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aajoshi" refreshedDate="46190.98451412037" createdVersion="8" refreshedVersion="8" minRefreshableVersion="3" recordCount="384" xr:uid="{4E318304-AB17-454C-AEB3-588C7064AC09}">
  <cacheSource type="worksheet">
    <worksheetSource ref="A1:J385" sheet="working sheet"/>
  </cacheSource>
  <cacheFields count="13">
    <cacheField name="Date" numFmtId="164">
      <sharedItems containsSemiMixedTypes="0" containsNonDate="0" containsDate="1" containsString="0" minDate="2022-01-01T00:00:00" maxDate="2025-12-02T00:00:00" count="48">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fieldGroup par="12"/>
    </cacheField>
    <cacheField name="Year" numFmtId="0">
      <sharedItems containsSemiMixedTypes="0" containsString="0" containsNumber="1" containsInteger="1" minValue="2022" maxValue="2025" count="4">
        <n v="2022"/>
        <n v="2023"/>
        <n v="2024"/>
        <n v="2025"/>
      </sharedItems>
    </cacheField>
    <cacheField name="Month" numFmtId="0">
      <sharedItems count="12">
        <s v="Jan"/>
        <s v="Feb"/>
        <s v="Mar"/>
        <s v="Apr"/>
        <s v="May"/>
        <s v="Jun"/>
        <s v="Jul"/>
        <s v="Aug"/>
        <s v="Sep"/>
        <s v="Oct"/>
        <s v="Nov"/>
        <s v="Dec"/>
      </sharedItems>
    </cacheField>
    <cacheField name="Conflict" numFmtId="0">
      <sharedItems count="8">
        <s v="Russia-Ukraine War"/>
        <s v="Israel-Hamas War"/>
        <s v="Sudan Conflict"/>
        <s v="Yemen Conflict"/>
        <s v="Myanmar Conflict"/>
        <s v="Syria Conflict"/>
        <s v="South China Sea Tension"/>
        <s v="Taiwan Strait Tension"/>
      </sharedItems>
    </cacheField>
    <cacheField name="Region" numFmtId="0">
      <sharedItems/>
    </cacheField>
    <cacheField name="Military_Spending_MUSD" numFmtId="0">
      <sharedItems containsSemiMixedTypes="0" containsString="0" containsNumber="1" minValue="208.3" maxValue="7995.5"/>
    </cacheField>
    <cacheField name="Civilian_Casualties" numFmtId="0">
      <sharedItems containsSemiMixedTypes="0" containsString="0" containsNumber="1" containsInteger="1" minValue="20" maxValue="596"/>
    </cacheField>
    <cacheField name="Military_Casualties" numFmtId="0">
      <sharedItems containsSemiMixedTypes="0" containsString="0" containsNumber="1" containsInteger="1" minValue="10" maxValue="499"/>
    </cacheField>
    <cacheField name="Refugees_Displaced" numFmtId="0">
      <sharedItems containsSemiMixedTypes="0" containsString="0" containsNumber="1" containsInteger="1" minValue="1035" maxValue="29959"/>
    </cacheField>
    <cacheField name="Foreign_Aid_MUSD" numFmtId="0">
      <sharedItems containsSemiMixedTypes="0" containsString="0" containsNumber="1" minValue="59.2" maxValue="1998.3"/>
    </cacheField>
    <cacheField name="Months (Date)" numFmtId="0" databaseField="0">
      <fieldGroup base="0">
        <rangePr groupBy="months" startDate="2022-01-01T00:00:00" endDate="2025-12-02T00:00:00"/>
        <groupItems count="14">
          <s v="&lt;01-01-2022"/>
          <s v="Jan"/>
          <s v="Feb"/>
          <s v="Mar"/>
          <s v="Apr"/>
          <s v="May"/>
          <s v="Jun"/>
          <s v="Jul"/>
          <s v="Aug"/>
          <s v="Sep"/>
          <s v="Oct"/>
          <s v="Nov"/>
          <s v="Dec"/>
          <s v="&gt;02-12-2025"/>
        </groupItems>
      </fieldGroup>
    </cacheField>
    <cacheField name="Quarters (Date)" numFmtId="0" databaseField="0">
      <fieldGroup base="0">
        <rangePr groupBy="quarters" startDate="2022-01-01T00:00:00" endDate="2025-12-02T00:00:00"/>
        <groupItems count="6">
          <s v="&lt;01-01-2022"/>
          <s v="Qtr1"/>
          <s v="Qtr2"/>
          <s v="Qtr3"/>
          <s v="Qtr4"/>
          <s v="&gt;02-12-2025"/>
        </groupItems>
      </fieldGroup>
    </cacheField>
    <cacheField name="Years (Date)" numFmtId="0" databaseField="0">
      <fieldGroup base="0">
        <rangePr groupBy="years" startDate="2022-01-01T00:00:00" endDate="2025-12-02T00:00:00"/>
        <groupItems count="6">
          <s v="&lt;01-01-2022"/>
          <s v="2022"/>
          <s v="2023"/>
          <s v="2024"/>
          <s v="2025"/>
          <s v="&gt;02-12-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aajoshi" refreshedDate="46191.01977071759" createdVersion="8" refreshedVersion="8" minRefreshableVersion="3" recordCount="384" xr:uid="{0FC070C2-5D9C-4476-922C-6E4E7959ED7A}">
  <cacheSource type="worksheet">
    <worksheetSource ref="A1:K385" sheet="working sheet"/>
  </cacheSource>
  <cacheFields count="11">
    <cacheField name="Date" numFmtId="164">
      <sharedItems containsSemiMixedTypes="0" containsNonDate="0" containsDate="1" containsString="0" minDate="2022-01-01T00:00:00" maxDate="2025-12-02T00:00:00"/>
    </cacheField>
    <cacheField name="Year" numFmtId="0">
      <sharedItems containsSemiMixedTypes="0" containsString="0" containsNumber="1" containsInteger="1" minValue="2022" maxValue="2025" count="4">
        <n v="2022"/>
        <n v="2023"/>
        <n v="2024"/>
        <n v="2025"/>
      </sharedItems>
    </cacheField>
    <cacheField name="Month" numFmtId="0">
      <sharedItems/>
    </cacheField>
    <cacheField name="Conflict" numFmtId="0">
      <sharedItems count="8">
        <s v="Russia-Ukraine War"/>
        <s v="Israel-Hamas War"/>
        <s v="Sudan Conflict"/>
        <s v="Yemen Conflict"/>
        <s v="Myanmar Conflict"/>
        <s v="Syria Conflict"/>
        <s v="South China Sea Tension"/>
        <s v="Taiwan Strait Tension"/>
      </sharedItems>
    </cacheField>
    <cacheField name="Region" numFmtId="0">
      <sharedItems count="4">
        <s v="Europe"/>
        <s v="Middle East"/>
        <s v="Africa"/>
        <s v="Asia"/>
      </sharedItems>
    </cacheField>
    <cacheField name="Military_Spending_MUSD" numFmtId="0">
      <sharedItems containsSemiMixedTypes="0" containsString="0" containsNumber="1" minValue="208.3" maxValue="7995.5"/>
    </cacheField>
    <cacheField name="Civilian_Casualties" numFmtId="0">
      <sharedItems containsSemiMixedTypes="0" containsString="0" containsNumber="1" containsInteger="1" minValue="20" maxValue="596"/>
    </cacheField>
    <cacheField name="Military_Casualties" numFmtId="0">
      <sharedItems containsSemiMixedTypes="0" containsString="0" containsNumber="1" containsInteger="1" minValue="10" maxValue="499" count="275">
        <n v="430"/>
        <n v="395"/>
        <n v="325"/>
        <n v="41"/>
        <n v="485"/>
        <n v="31"/>
        <n v="169"/>
        <n v="243"/>
        <n v="353"/>
        <n v="151"/>
        <n v="288"/>
        <n v="286"/>
        <n v="158"/>
        <n v="428"/>
        <n v="334"/>
        <n v="408"/>
        <n v="236"/>
        <n v="228"/>
        <n v="52"/>
        <n v="140"/>
        <n v="143"/>
        <n v="159"/>
        <n v="362"/>
        <n v="51"/>
        <n v="80"/>
        <n v="294"/>
        <n v="246"/>
        <n v="469"/>
        <n v="265"/>
        <n v="78"/>
        <n v="333"/>
        <n v="122"/>
        <n v="406"/>
        <n v="135"/>
        <n v="496"/>
        <n v="264"/>
        <n v="56"/>
        <n v="70"/>
        <n v="438"/>
        <n v="255"/>
        <n v="342"/>
        <n v="107"/>
        <n v="282"/>
        <n v="483"/>
        <n v="394"/>
        <n v="123"/>
        <n v="212"/>
        <n v="232"/>
        <n v="61"/>
        <n v="162"/>
        <n v="85"/>
        <n v="36"/>
        <n v="257"/>
        <n v="126"/>
        <n v="193"/>
        <n v="463"/>
        <n v="402"/>
        <n v="272"/>
        <n v="323"/>
        <n v="346"/>
        <n v="170"/>
        <n v="271"/>
        <n v="350"/>
        <n v="365"/>
        <n v="134"/>
        <n v="401"/>
        <n v="67"/>
        <n v="338"/>
        <n v="188"/>
        <n v="224"/>
        <n v="392"/>
        <n v="476"/>
        <n v="298"/>
        <n v="154"/>
        <n v="420"/>
        <n v="54"/>
        <n v="390"/>
        <n v="12"/>
        <n v="426"/>
        <n v="352"/>
        <n v="369"/>
        <n v="309"/>
        <n v="357"/>
        <n v="234"/>
        <n v="473"/>
        <n v="470"/>
        <n v="68"/>
        <n v="120"/>
        <n v="329"/>
        <n v="316"/>
        <n v="461"/>
        <n v="37"/>
        <n v="373"/>
        <n v="497"/>
        <n v="200"/>
        <n v="90"/>
        <n v="421"/>
        <n v="49"/>
        <n v="98"/>
        <n v="250"/>
        <n v="423"/>
        <n v="38"/>
        <n v="297"/>
        <n v="176"/>
        <n v="160"/>
        <n v="320"/>
        <n v="452"/>
        <n v="65"/>
        <n v="179"/>
        <n v="492"/>
        <n v="28"/>
        <n v="359"/>
        <n v="33"/>
        <n v="262"/>
        <n v="339"/>
        <n v="156"/>
        <n v="101"/>
        <n v="499"/>
        <n v="498"/>
        <n v="253"/>
        <n v="18"/>
        <n v="480"/>
        <n v="125"/>
        <n v="299"/>
        <n v="86"/>
        <n v="409"/>
        <n v="59"/>
        <n v="27"/>
        <n v="42"/>
        <n v="64"/>
        <n v="432"/>
        <n v="221"/>
        <n v="128"/>
        <n v="465"/>
        <n v="25"/>
        <n v="89"/>
        <n v="166"/>
        <n v="165"/>
        <n v="91"/>
        <n v="446"/>
        <n v="94"/>
        <n v="204"/>
        <n v="491"/>
        <n v="344"/>
        <n v="440"/>
        <n v="393"/>
        <n v="489"/>
        <n v="468"/>
        <n v="74"/>
        <n v="129"/>
        <n v="109"/>
        <n v="32"/>
        <n v="451"/>
        <n v="77"/>
        <n v="312"/>
        <n v="427"/>
        <n v="208"/>
        <n v="69"/>
        <n v="97"/>
        <n v="263"/>
        <n v="206"/>
        <n v="34"/>
        <n v="398"/>
        <n v="11"/>
        <n v="73"/>
        <n v="241"/>
        <n v="424"/>
        <n v="495"/>
        <n v="189"/>
        <n v="259"/>
        <n v="209"/>
        <n v="331"/>
        <n v="391"/>
        <n v="144"/>
        <n v="345"/>
        <n v="227"/>
        <n v="462"/>
        <n v="383"/>
        <n v="400"/>
        <n v="201"/>
        <n v="313"/>
        <n v="397"/>
        <n v="417"/>
        <n v="218"/>
        <n v="57"/>
        <n v="10"/>
        <n v="413"/>
        <n v="274"/>
        <n v="136"/>
        <n v="190"/>
        <n v="415"/>
        <n v="248"/>
        <n v="284"/>
        <n v="448"/>
        <n v="105"/>
        <n v="217"/>
        <n v="186"/>
        <n v="110"/>
        <n v="66"/>
        <n v="411"/>
        <n v="168"/>
        <n v="60"/>
        <n v="171"/>
        <n v="281"/>
        <n v="380"/>
        <n v="337"/>
        <n v="293"/>
        <n v="23"/>
        <n v="301"/>
        <n v="191"/>
        <n v="149"/>
        <n v="237"/>
        <n v="436"/>
        <n v="157"/>
        <n v="458"/>
        <n v="484"/>
        <n v="422"/>
        <n v="276"/>
        <n v="233"/>
        <n v="47"/>
        <n v="273"/>
        <n v="433"/>
        <n v="99"/>
        <n v="62"/>
        <n v="300"/>
        <n v="239"/>
        <n v="327"/>
        <n v="319"/>
        <n v="235"/>
        <n v="317"/>
        <n v="478"/>
        <n v="442"/>
        <n v="244"/>
        <n v="279"/>
        <n v="376"/>
        <n v="378"/>
        <n v="445"/>
        <n v="17"/>
        <n v="280"/>
        <n v="425"/>
        <n v="475"/>
        <n v="95"/>
        <n v="139"/>
        <n v="388"/>
        <n v="289"/>
        <n v="102"/>
        <n v="324"/>
        <n v="121"/>
        <n v="382"/>
        <n v="226"/>
        <n v="377"/>
        <n v="130"/>
        <n v="399"/>
        <n v="182"/>
        <n v="490"/>
        <n v="307"/>
        <n v="358"/>
        <n v="115"/>
        <n v="270"/>
        <n v="486"/>
        <n v="113"/>
        <n v="46"/>
        <n v="229"/>
        <n v="137"/>
        <n v="116"/>
        <n v="152"/>
        <n v="76"/>
        <n v="374"/>
        <n v="269"/>
        <n v="245"/>
        <n v="230"/>
        <n v="150"/>
        <n v="167"/>
        <n v="210"/>
        <n v="45"/>
      </sharedItems>
    </cacheField>
    <cacheField name="Refugees_Displaced" numFmtId="0">
      <sharedItems containsSemiMixedTypes="0" containsString="0" containsNumber="1" containsInteger="1" minValue="1035" maxValue="29959"/>
    </cacheField>
    <cacheField name="Foreign_Aid_MUSD" numFmtId="0">
      <sharedItems containsSemiMixedTypes="0" containsString="0" containsNumber="1" minValue="59.2" maxValue="1998.3"/>
    </cacheField>
    <cacheField name="Total_casulties" numFmtId="0">
      <sharedItems containsSemiMixedTypes="0" containsString="0" containsNumber="1" containsInteger="1" minValue="52" maxValue="1091"/>
    </cacheField>
  </cacheFields>
  <extLst>
    <ext xmlns:x14="http://schemas.microsoft.com/office/spreadsheetml/2009/9/main" uri="{725AE2AE-9491-48be-B2B4-4EB974FC3084}">
      <x14:pivotCacheDefinition pivotCacheId="2106488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4">
  <r>
    <x v="0"/>
    <x v="0"/>
    <x v="0"/>
    <x v="0"/>
    <s v="Europe"/>
    <n v="6236.9"/>
    <n v="274"/>
    <n v="430"/>
    <n v="21223"/>
    <n v="233.6"/>
  </r>
  <r>
    <x v="0"/>
    <x v="0"/>
    <x v="0"/>
    <x v="1"/>
    <s v="Middle East"/>
    <n v="7809.9"/>
    <n v="461"/>
    <n v="395"/>
    <n v="4715"/>
    <n v="928.3"/>
  </r>
  <r>
    <x v="0"/>
    <x v="0"/>
    <x v="0"/>
    <x v="2"/>
    <s v="Africa"/>
    <n v="3092.2"/>
    <n v="557"/>
    <n v="325"/>
    <n v="24860"/>
    <n v="914.7"/>
  </r>
  <r>
    <x v="0"/>
    <x v="0"/>
    <x v="0"/>
    <x v="3"/>
    <s v="Middle East"/>
    <n v="1972.5"/>
    <n v="341"/>
    <n v="41"/>
    <n v="25001"/>
    <n v="1281.7"/>
  </r>
  <r>
    <x v="0"/>
    <x v="0"/>
    <x v="0"/>
    <x v="4"/>
    <s v="Asia"/>
    <n v="6113.1"/>
    <n v="225"/>
    <n v="485"/>
    <n v="26900"/>
    <n v="1567.8"/>
  </r>
  <r>
    <x v="0"/>
    <x v="0"/>
    <x v="0"/>
    <x v="5"/>
    <s v="Middle East"/>
    <n v="1718.2"/>
    <n v="290"/>
    <n v="31"/>
    <n v="5474"/>
    <n v="1381.9"/>
  </r>
  <r>
    <x v="0"/>
    <x v="0"/>
    <x v="0"/>
    <x v="6"/>
    <s v="Asia"/>
    <n v="6009.1"/>
    <n v="581"/>
    <n v="169"/>
    <n v="11743"/>
    <n v="965.6"/>
  </r>
  <r>
    <x v="0"/>
    <x v="0"/>
    <x v="0"/>
    <x v="7"/>
    <s v="Asia"/>
    <n v="1677.9"/>
    <n v="95"/>
    <n v="243"/>
    <n v="7580"/>
    <n v="1356.1"/>
  </r>
  <r>
    <x v="1"/>
    <x v="0"/>
    <x v="1"/>
    <x v="0"/>
    <s v="Europe"/>
    <n v="3609.8"/>
    <n v="502"/>
    <n v="353"/>
    <n v="10058"/>
    <n v="1672.9"/>
  </r>
  <r>
    <x v="1"/>
    <x v="0"/>
    <x v="1"/>
    <x v="1"/>
    <s v="Middle East"/>
    <n v="6477.2"/>
    <n v="244"/>
    <n v="151"/>
    <n v="20792"/>
    <n v="322.5"/>
  </r>
  <r>
    <x v="1"/>
    <x v="0"/>
    <x v="1"/>
    <x v="2"/>
    <s v="Africa"/>
    <n v="1759.3"/>
    <n v="24"/>
    <n v="395"/>
    <n v="20280"/>
    <n v="1425.1"/>
  </r>
  <r>
    <x v="1"/>
    <x v="0"/>
    <x v="1"/>
    <x v="3"/>
    <s v="Middle East"/>
    <n v="6289.7"/>
    <n v="286"/>
    <n v="288"/>
    <n v="5054"/>
    <n v="273.3"/>
  </r>
  <r>
    <x v="1"/>
    <x v="0"/>
    <x v="1"/>
    <x v="4"/>
    <s v="Asia"/>
    <n v="5413.5"/>
    <n v="293"/>
    <n v="286"/>
    <n v="23184"/>
    <n v="1287.7"/>
  </r>
  <r>
    <x v="1"/>
    <x v="0"/>
    <x v="1"/>
    <x v="5"/>
    <s v="Middle East"/>
    <n v="4517.8999999999996"/>
    <n v="344"/>
    <n v="158"/>
    <n v="1893"/>
    <n v="901.6"/>
  </r>
  <r>
    <x v="1"/>
    <x v="0"/>
    <x v="1"/>
    <x v="6"/>
    <s v="Asia"/>
    <n v="1873.8"/>
    <n v="256"/>
    <n v="428"/>
    <n v="7784"/>
    <n v="163.69999999999999"/>
  </r>
  <r>
    <x v="1"/>
    <x v="0"/>
    <x v="1"/>
    <x v="7"/>
    <s v="Asia"/>
    <n v="2394.8000000000002"/>
    <n v="190"/>
    <n v="334"/>
    <n v="17153"/>
    <n v="1578.6"/>
  </r>
  <r>
    <x v="2"/>
    <x v="0"/>
    <x v="2"/>
    <x v="0"/>
    <s v="Europe"/>
    <n v="5381.6"/>
    <n v="255"/>
    <n v="408"/>
    <n v="5842"/>
    <n v="94.3"/>
  </r>
  <r>
    <x v="2"/>
    <x v="0"/>
    <x v="2"/>
    <x v="1"/>
    <s v="Middle East"/>
    <n v="902.4"/>
    <n v="438"/>
    <n v="236"/>
    <n v="5676"/>
    <n v="1027"/>
  </r>
  <r>
    <x v="2"/>
    <x v="0"/>
    <x v="2"/>
    <x v="2"/>
    <s v="Africa"/>
    <n v="1388"/>
    <n v="423"/>
    <n v="228"/>
    <n v="12049"/>
    <n v="637.9"/>
  </r>
  <r>
    <x v="2"/>
    <x v="0"/>
    <x v="2"/>
    <x v="3"/>
    <s v="Middle East"/>
    <n v="5116.2"/>
    <n v="229"/>
    <n v="52"/>
    <n v="4422"/>
    <n v="1925.7"/>
  </r>
  <r>
    <x v="2"/>
    <x v="0"/>
    <x v="2"/>
    <x v="4"/>
    <s v="Asia"/>
    <n v="7286.9"/>
    <n v="425"/>
    <n v="140"/>
    <n v="29106"/>
    <n v="1568.6"/>
  </r>
  <r>
    <x v="2"/>
    <x v="0"/>
    <x v="2"/>
    <x v="5"/>
    <s v="Middle East"/>
    <n v="5791.7"/>
    <n v="280"/>
    <n v="143"/>
    <n v="3795"/>
    <n v="1810.1"/>
  </r>
  <r>
    <x v="2"/>
    <x v="0"/>
    <x v="2"/>
    <x v="6"/>
    <s v="Asia"/>
    <n v="3755.1"/>
    <n v="137"/>
    <n v="159"/>
    <n v="17797"/>
    <n v="394.7"/>
  </r>
  <r>
    <x v="2"/>
    <x v="0"/>
    <x v="2"/>
    <x v="7"/>
    <s v="Asia"/>
    <n v="6881.6"/>
    <n v="459"/>
    <n v="362"/>
    <n v="13530"/>
    <n v="1273.3"/>
  </r>
  <r>
    <x v="3"/>
    <x v="0"/>
    <x v="3"/>
    <x v="0"/>
    <s v="Europe"/>
    <n v="4756"/>
    <n v="396"/>
    <n v="51"/>
    <n v="13058"/>
    <n v="131.1"/>
  </r>
  <r>
    <x v="3"/>
    <x v="0"/>
    <x v="3"/>
    <x v="1"/>
    <s v="Middle East"/>
    <n v="4053.1"/>
    <n v="211"/>
    <n v="80"/>
    <n v="3998"/>
    <n v="1195.9000000000001"/>
  </r>
  <r>
    <x v="3"/>
    <x v="0"/>
    <x v="3"/>
    <x v="2"/>
    <s v="Africa"/>
    <n v="1530.6"/>
    <n v="556"/>
    <n v="294"/>
    <n v="11059"/>
    <n v="1202.3"/>
  </r>
  <r>
    <x v="3"/>
    <x v="0"/>
    <x v="3"/>
    <x v="3"/>
    <s v="Middle East"/>
    <n v="377.9"/>
    <n v="575"/>
    <n v="246"/>
    <n v="23699"/>
    <n v="211.3"/>
  </r>
  <r>
    <x v="3"/>
    <x v="0"/>
    <x v="3"/>
    <x v="4"/>
    <s v="Asia"/>
    <n v="3995.9"/>
    <n v="304"/>
    <n v="469"/>
    <n v="17580"/>
    <n v="973.3"/>
  </r>
  <r>
    <x v="3"/>
    <x v="0"/>
    <x v="3"/>
    <x v="5"/>
    <s v="Middle East"/>
    <n v="2282.4"/>
    <n v="212"/>
    <n v="265"/>
    <n v="13728"/>
    <n v="92.1"/>
  </r>
  <r>
    <x v="3"/>
    <x v="0"/>
    <x v="3"/>
    <x v="6"/>
    <s v="Asia"/>
    <n v="6645.1"/>
    <n v="539"/>
    <n v="78"/>
    <n v="17067"/>
    <n v="261.7"/>
  </r>
  <r>
    <x v="3"/>
    <x v="0"/>
    <x v="3"/>
    <x v="7"/>
    <s v="Asia"/>
    <n v="5443.5"/>
    <n v="183"/>
    <n v="333"/>
    <n v="22082"/>
    <n v="1548.9"/>
  </r>
  <r>
    <x v="4"/>
    <x v="0"/>
    <x v="4"/>
    <x v="0"/>
    <s v="Europe"/>
    <n v="1040.4000000000001"/>
    <n v="551"/>
    <n v="122"/>
    <n v="2084"/>
    <n v="1132"/>
  </r>
  <r>
    <x v="4"/>
    <x v="0"/>
    <x v="4"/>
    <x v="1"/>
    <s v="Middle East"/>
    <n v="3093.2"/>
    <n v="501"/>
    <n v="406"/>
    <n v="10197"/>
    <n v="1908.2"/>
  </r>
  <r>
    <x v="4"/>
    <x v="0"/>
    <x v="4"/>
    <x v="2"/>
    <s v="Africa"/>
    <n v="2469.1999999999998"/>
    <n v="318"/>
    <n v="135"/>
    <n v="28145"/>
    <n v="371"/>
  </r>
  <r>
    <x v="4"/>
    <x v="0"/>
    <x v="4"/>
    <x v="3"/>
    <s v="Middle East"/>
    <n v="550.29999999999995"/>
    <n v="272"/>
    <n v="496"/>
    <n v="26858"/>
    <n v="1509.8"/>
  </r>
  <r>
    <x v="4"/>
    <x v="0"/>
    <x v="4"/>
    <x v="4"/>
    <s v="Asia"/>
    <n v="7148.2"/>
    <n v="538"/>
    <n v="264"/>
    <n v="10161"/>
    <n v="1555.4"/>
  </r>
  <r>
    <x v="4"/>
    <x v="0"/>
    <x v="4"/>
    <x v="5"/>
    <s v="Middle East"/>
    <n v="5361"/>
    <n v="236"/>
    <n v="56"/>
    <n v="22656"/>
    <n v="561.79999999999995"/>
  </r>
  <r>
    <x v="4"/>
    <x v="0"/>
    <x v="4"/>
    <x v="6"/>
    <s v="Asia"/>
    <n v="7507.1"/>
    <n v="159"/>
    <n v="70"/>
    <n v="25102"/>
    <n v="348.9"/>
  </r>
  <r>
    <x v="4"/>
    <x v="0"/>
    <x v="4"/>
    <x v="7"/>
    <s v="Asia"/>
    <n v="1598.3"/>
    <n v="367"/>
    <n v="438"/>
    <n v="6696"/>
    <n v="655.1"/>
  </r>
  <r>
    <x v="5"/>
    <x v="0"/>
    <x v="5"/>
    <x v="0"/>
    <s v="Europe"/>
    <n v="6263.8"/>
    <n v="583"/>
    <n v="255"/>
    <n v="5173"/>
    <n v="77.2"/>
  </r>
  <r>
    <x v="5"/>
    <x v="0"/>
    <x v="5"/>
    <x v="1"/>
    <s v="Middle East"/>
    <n v="1991.3"/>
    <n v="96"/>
    <n v="342"/>
    <n v="4533"/>
    <n v="1037.3"/>
  </r>
  <r>
    <x v="5"/>
    <x v="0"/>
    <x v="5"/>
    <x v="2"/>
    <s v="Africa"/>
    <n v="5615.2"/>
    <n v="357"/>
    <n v="107"/>
    <n v="24319"/>
    <n v="1445"/>
  </r>
  <r>
    <x v="5"/>
    <x v="0"/>
    <x v="5"/>
    <x v="3"/>
    <s v="Middle East"/>
    <n v="5964.1"/>
    <n v="96"/>
    <n v="70"/>
    <n v="27899"/>
    <n v="825.3"/>
  </r>
  <r>
    <x v="5"/>
    <x v="0"/>
    <x v="5"/>
    <x v="4"/>
    <s v="Asia"/>
    <n v="2547.4"/>
    <n v="303"/>
    <n v="334"/>
    <n v="28713"/>
    <n v="608.6"/>
  </r>
  <r>
    <x v="5"/>
    <x v="0"/>
    <x v="5"/>
    <x v="5"/>
    <s v="Middle East"/>
    <n v="7413.5"/>
    <n v="34"/>
    <n v="282"/>
    <n v="19385"/>
    <n v="256.5"/>
  </r>
  <r>
    <x v="5"/>
    <x v="0"/>
    <x v="5"/>
    <x v="6"/>
    <s v="Asia"/>
    <n v="1294.5999999999999"/>
    <n v="263"/>
    <n v="483"/>
    <n v="18285"/>
    <n v="1869.4"/>
  </r>
  <r>
    <x v="5"/>
    <x v="0"/>
    <x v="5"/>
    <x v="7"/>
    <s v="Asia"/>
    <n v="6474"/>
    <n v="291"/>
    <n v="394"/>
    <n v="1517"/>
    <n v="262.8"/>
  </r>
  <r>
    <x v="6"/>
    <x v="0"/>
    <x v="6"/>
    <x v="0"/>
    <s v="Europe"/>
    <n v="6669.5"/>
    <n v="482"/>
    <n v="123"/>
    <n v="16392"/>
    <n v="1231.7"/>
  </r>
  <r>
    <x v="6"/>
    <x v="0"/>
    <x v="6"/>
    <x v="1"/>
    <s v="Middle East"/>
    <n v="6968.4"/>
    <n v="369"/>
    <n v="212"/>
    <n v="11851"/>
    <n v="880.5"/>
  </r>
  <r>
    <x v="6"/>
    <x v="0"/>
    <x v="6"/>
    <x v="2"/>
    <s v="Africa"/>
    <n v="5285.1"/>
    <n v="523"/>
    <n v="232"/>
    <n v="8187"/>
    <n v="511.5"/>
  </r>
  <r>
    <x v="6"/>
    <x v="0"/>
    <x v="6"/>
    <x v="3"/>
    <s v="Middle East"/>
    <n v="6018.9"/>
    <n v="493"/>
    <n v="61"/>
    <n v="2930"/>
    <n v="1209.0999999999999"/>
  </r>
  <r>
    <x v="6"/>
    <x v="0"/>
    <x v="6"/>
    <x v="4"/>
    <s v="Asia"/>
    <n v="1340.2"/>
    <n v="498"/>
    <n v="162"/>
    <n v="5172"/>
    <n v="1845.9"/>
  </r>
  <r>
    <x v="6"/>
    <x v="0"/>
    <x v="6"/>
    <x v="5"/>
    <s v="Middle East"/>
    <n v="1491.1"/>
    <n v="185"/>
    <n v="85"/>
    <n v="4349"/>
    <n v="91.2"/>
  </r>
  <r>
    <x v="6"/>
    <x v="0"/>
    <x v="6"/>
    <x v="6"/>
    <s v="Asia"/>
    <n v="632.1"/>
    <n v="121"/>
    <n v="36"/>
    <n v="18143"/>
    <n v="1377.4"/>
  </r>
  <r>
    <x v="6"/>
    <x v="0"/>
    <x v="6"/>
    <x v="7"/>
    <s v="Asia"/>
    <n v="3270.3"/>
    <n v="204"/>
    <n v="257"/>
    <n v="26375"/>
    <n v="1709.7"/>
  </r>
  <r>
    <x v="7"/>
    <x v="0"/>
    <x v="7"/>
    <x v="0"/>
    <s v="Europe"/>
    <n v="539.1"/>
    <n v="125"/>
    <n v="126"/>
    <n v="8232"/>
    <n v="1163.9000000000001"/>
  </r>
  <r>
    <x v="7"/>
    <x v="0"/>
    <x v="7"/>
    <x v="1"/>
    <s v="Middle East"/>
    <n v="3446.8"/>
    <n v="48"/>
    <n v="193"/>
    <n v="16188"/>
    <n v="248.3"/>
  </r>
  <r>
    <x v="7"/>
    <x v="0"/>
    <x v="7"/>
    <x v="2"/>
    <s v="Africa"/>
    <n v="6701"/>
    <n v="50"/>
    <n v="463"/>
    <n v="3874"/>
    <n v="1695"/>
  </r>
  <r>
    <x v="7"/>
    <x v="0"/>
    <x v="7"/>
    <x v="3"/>
    <s v="Middle East"/>
    <n v="7240.7"/>
    <n v="588"/>
    <n v="402"/>
    <n v="23604"/>
    <n v="1302.8"/>
  </r>
  <r>
    <x v="7"/>
    <x v="0"/>
    <x v="7"/>
    <x v="4"/>
    <s v="Asia"/>
    <n v="6276.2"/>
    <n v="98"/>
    <n v="272"/>
    <n v="15912"/>
    <n v="1722.3"/>
  </r>
  <r>
    <x v="7"/>
    <x v="0"/>
    <x v="7"/>
    <x v="5"/>
    <s v="Middle East"/>
    <n v="3809.8"/>
    <n v="243"/>
    <n v="323"/>
    <n v="8727"/>
    <n v="322.5"/>
  </r>
  <r>
    <x v="7"/>
    <x v="0"/>
    <x v="7"/>
    <x v="6"/>
    <s v="Asia"/>
    <n v="3927.4"/>
    <n v="261"/>
    <n v="123"/>
    <n v="11657"/>
    <n v="764.5"/>
  </r>
  <r>
    <x v="7"/>
    <x v="0"/>
    <x v="7"/>
    <x v="7"/>
    <s v="Asia"/>
    <n v="2754.5"/>
    <n v="240"/>
    <n v="346"/>
    <n v="9609"/>
    <n v="1900.3"/>
  </r>
  <r>
    <x v="8"/>
    <x v="0"/>
    <x v="8"/>
    <x v="0"/>
    <s v="Europe"/>
    <n v="7347.5"/>
    <n v="298"/>
    <n v="170"/>
    <n v="16527"/>
    <n v="1704.7"/>
  </r>
  <r>
    <x v="8"/>
    <x v="0"/>
    <x v="8"/>
    <x v="1"/>
    <s v="Middle East"/>
    <n v="5290.2"/>
    <n v="486"/>
    <n v="271"/>
    <n v="19354"/>
    <n v="611.9"/>
  </r>
  <r>
    <x v="8"/>
    <x v="0"/>
    <x v="8"/>
    <x v="2"/>
    <s v="Africa"/>
    <n v="5932.2"/>
    <n v="137"/>
    <n v="350"/>
    <n v="25960"/>
    <n v="307.60000000000002"/>
  </r>
  <r>
    <x v="8"/>
    <x v="0"/>
    <x v="8"/>
    <x v="3"/>
    <s v="Middle East"/>
    <n v="4992.2"/>
    <n v="75"/>
    <n v="365"/>
    <n v="3450"/>
    <n v="1875.1"/>
  </r>
  <r>
    <x v="8"/>
    <x v="0"/>
    <x v="8"/>
    <x v="4"/>
    <s v="Asia"/>
    <n v="1271.8"/>
    <n v="576"/>
    <n v="402"/>
    <n v="18216"/>
    <n v="1576.1"/>
  </r>
  <r>
    <x v="8"/>
    <x v="0"/>
    <x v="8"/>
    <x v="5"/>
    <s v="Middle East"/>
    <n v="6401.9"/>
    <n v="568"/>
    <n v="134"/>
    <n v="18112"/>
    <n v="235.3"/>
  </r>
  <r>
    <x v="8"/>
    <x v="0"/>
    <x v="8"/>
    <x v="6"/>
    <s v="Asia"/>
    <n v="5006.1000000000004"/>
    <n v="119"/>
    <n v="286"/>
    <n v="17600"/>
    <n v="958.7"/>
  </r>
  <r>
    <x v="8"/>
    <x v="0"/>
    <x v="8"/>
    <x v="7"/>
    <s v="Asia"/>
    <n v="4276.5"/>
    <n v="463"/>
    <n v="401"/>
    <n v="15272"/>
    <n v="1219.2"/>
  </r>
  <r>
    <x v="9"/>
    <x v="0"/>
    <x v="9"/>
    <x v="0"/>
    <s v="Europe"/>
    <n v="7463.6"/>
    <n v="89"/>
    <n v="67"/>
    <n v="3543"/>
    <n v="1332.8"/>
  </r>
  <r>
    <x v="9"/>
    <x v="0"/>
    <x v="9"/>
    <x v="1"/>
    <s v="Middle East"/>
    <n v="3465.1"/>
    <n v="469"/>
    <n v="338"/>
    <n v="10675"/>
    <n v="1801.8"/>
  </r>
  <r>
    <x v="9"/>
    <x v="0"/>
    <x v="9"/>
    <x v="2"/>
    <s v="Africa"/>
    <n v="6147.8"/>
    <n v="176"/>
    <n v="188"/>
    <n v="10118"/>
    <n v="357.3"/>
  </r>
  <r>
    <x v="9"/>
    <x v="0"/>
    <x v="9"/>
    <x v="3"/>
    <s v="Middle East"/>
    <n v="1352.7"/>
    <n v="562"/>
    <n v="224"/>
    <n v="12116"/>
    <n v="1472.9"/>
  </r>
  <r>
    <x v="9"/>
    <x v="0"/>
    <x v="9"/>
    <x v="4"/>
    <s v="Asia"/>
    <n v="4513.3"/>
    <n v="562"/>
    <n v="392"/>
    <n v="14901"/>
    <n v="783.9"/>
  </r>
  <r>
    <x v="9"/>
    <x v="0"/>
    <x v="9"/>
    <x v="5"/>
    <s v="Middle East"/>
    <n v="7895.7"/>
    <n v="436"/>
    <n v="476"/>
    <n v="4435"/>
    <n v="1708.5"/>
  </r>
  <r>
    <x v="9"/>
    <x v="0"/>
    <x v="9"/>
    <x v="6"/>
    <s v="Asia"/>
    <n v="5169.2"/>
    <n v="90"/>
    <n v="298"/>
    <n v="20896"/>
    <n v="74"/>
  </r>
  <r>
    <x v="9"/>
    <x v="0"/>
    <x v="9"/>
    <x v="7"/>
    <s v="Asia"/>
    <n v="3743.7"/>
    <n v="498"/>
    <n v="154"/>
    <n v="14297"/>
    <n v="912.5"/>
  </r>
  <r>
    <x v="10"/>
    <x v="0"/>
    <x v="10"/>
    <x v="0"/>
    <s v="Europe"/>
    <n v="2555"/>
    <n v="552"/>
    <n v="392"/>
    <n v="4207"/>
    <n v="1994.2"/>
  </r>
  <r>
    <x v="10"/>
    <x v="0"/>
    <x v="10"/>
    <x v="1"/>
    <s v="Middle East"/>
    <n v="7057.8"/>
    <n v="184"/>
    <n v="420"/>
    <n v="4086"/>
    <n v="1998.3"/>
  </r>
  <r>
    <x v="10"/>
    <x v="0"/>
    <x v="10"/>
    <x v="2"/>
    <s v="Africa"/>
    <n v="5392.3"/>
    <n v="397"/>
    <n v="54"/>
    <n v="27013"/>
    <n v="106.5"/>
  </r>
  <r>
    <x v="10"/>
    <x v="0"/>
    <x v="10"/>
    <x v="3"/>
    <s v="Middle East"/>
    <n v="2078.5"/>
    <n v="102"/>
    <n v="390"/>
    <n v="6747"/>
    <n v="1825.7"/>
  </r>
  <r>
    <x v="10"/>
    <x v="0"/>
    <x v="10"/>
    <x v="4"/>
    <s v="Asia"/>
    <n v="5318.9"/>
    <n v="40"/>
    <n v="12"/>
    <n v="2498"/>
    <n v="1231.5999999999999"/>
  </r>
  <r>
    <x v="10"/>
    <x v="0"/>
    <x v="10"/>
    <x v="5"/>
    <s v="Middle East"/>
    <n v="6451.6"/>
    <n v="158"/>
    <n v="426"/>
    <n v="2659"/>
    <n v="1611.9"/>
  </r>
  <r>
    <x v="10"/>
    <x v="0"/>
    <x v="10"/>
    <x v="6"/>
    <s v="Asia"/>
    <n v="7436.8"/>
    <n v="467"/>
    <n v="352"/>
    <n v="25301"/>
    <n v="128.30000000000001"/>
  </r>
  <r>
    <x v="10"/>
    <x v="0"/>
    <x v="10"/>
    <x v="7"/>
    <s v="Asia"/>
    <n v="1773.9"/>
    <n v="92"/>
    <n v="257"/>
    <n v="22610"/>
    <n v="1278.5"/>
  </r>
  <r>
    <x v="11"/>
    <x v="0"/>
    <x v="11"/>
    <x v="0"/>
    <s v="Europe"/>
    <n v="6838.8"/>
    <n v="110"/>
    <n v="369"/>
    <n v="6598"/>
    <n v="578"/>
  </r>
  <r>
    <x v="11"/>
    <x v="0"/>
    <x v="11"/>
    <x v="1"/>
    <s v="Middle East"/>
    <n v="5737.3"/>
    <n v="588"/>
    <n v="309"/>
    <n v="2580"/>
    <n v="1251.8"/>
  </r>
  <r>
    <x v="11"/>
    <x v="0"/>
    <x v="11"/>
    <x v="2"/>
    <s v="Africa"/>
    <n v="530.29999999999995"/>
    <n v="532"/>
    <n v="357"/>
    <n v="6020"/>
    <n v="228.9"/>
  </r>
  <r>
    <x v="11"/>
    <x v="0"/>
    <x v="11"/>
    <x v="3"/>
    <s v="Middle East"/>
    <n v="1631.6"/>
    <n v="588"/>
    <n v="234"/>
    <n v="23738"/>
    <n v="1291"/>
  </r>
  <r>
    <x v="11"/>
    <x v="0"/>
    <x v="11"/>
    <x v="4"/>
    <s v="Asia"/>
    <n v="4664.8"/>
    <n v="104"/>
    <n v="473"/>
    <n v="9738"/>
    <n v="1177.0999999999999"/>
  </r>
  <r>
    <x v="11"/>
    <x v="0"/>
    <x v="11"/>
    <x v="5"/>
    <s v="Middle East"/>
    <n v="5658.3"/>
    <n v="396"/>
    <n v="470"/>
    <n v="5304"/>
    <n v="1041.3"/>
  </r>
  <r>
    <x v="11"/>
    <x v="0"/>
    <x v="11"/>
    <x v="6"/>
    <s v="Asia"/>
    <n v="3351.5"/>
    <n v="295"/>
    <n v="68"/>
    <n v="4888"/>
    <n v="592.20000000000005"/>
  </r>
  <r>
    <x v="11"/>
    <x v="0"/>
    <x v="11"/>
    <x v="7"/>
    <s v="Asia"/>
    <n v="2576.6999999999998"/>
    <n v="268"/>
    <n v="309"/>
    <n v="19404"/>
    <n v="853"/>
  </r>
  <r>
    <x v="12"/>
    <x v="1"/>
    <x v="0"/>
    <x v="0"/>
    <s v="Europe"/>
    <n v="3388.5"/>
    <n v="146"/>
    <n v="298"/>
    <n v="10194"/>
    <n v="120.3"/>
  </r>
  <r>
    <x v="12"/>
    <x v="1"/>
    <x v="0"/>
    <x v="1"/>
    <s v="Middle East"/>
    <n v="3463.5"/>
    <n v="294"/>
    <n v="120"/>
    <n v="17601"/>
    <n v="1153.3"/>
  </r>
  <r>
    <x v="12"/>
    <x v="1"/>
    <x v="0"/>
    <x v="2"/>
    <s v="Africa"/>
    <n v="5675.6"/>
    <n v="395"/>
    <n v="329"/>
    <n v="10170"/>
    <n v="1585.5"/>
  </r>
  <r>
    <x v="12"/>
    <x v="1"/>
    <x v="0"/>
    <x v="3"/>
    <s v="Middle East"/>
    <n v="4483.3"/>
    <n v="270"/>
    <n v="316"/>
    <n v="11459"/>
    <n v="1049.8"/>
  </r>
  <r>
    <x v="12"/>
    <x v="1"/>
    <x v="0"/>
    <x v="4"/>
    <s v="Asia"/>
    <n v="5946.3"/>
    <n v="534"/>
    <n v="461"/>
    <n v="15605"/>
    <n v="1064.5"/>
  </r>
  <r>
    <x v="12"/>
    <x v="1"/>
    <x v="0"/>
    <x v="5"/>
    <s v="Middle East"/>
    <n v="6439"/>
    <n v="202"/>
    <n v="420"/>
    <n v="15330"/>
    <n v="275.89999999999998"/>
  </r>
  <r>
    <x v="12"/>
    <x v="1"/>
    <x v="0"/>
    <x v="6"/>
    <s v="Asia"/>
    <n v="762.1"/>
    <n v="508"/>
    <n v="37"/>
    <n v="9137"/>
    <n v="701.6"/>
  </r>
  <r>
    <x v="12"/>
    <x v="1"/>
    <x v="0"/>
    <x v="7"/>
    <s v="Asia"/>
    <n v="1549.4"/>
    <n v="202"/>
    <n v="373"/>
    <n v="1425"/>
    <n v="1663"/>
  </r>
  <r>
    <x v="13"/>
    <x v="1"/>
    <x v="1"/>
    <x v="0"/>
    <s v="Europe"/>
    <n v="6881.1"/>
    <n v="235"/>
    <n v="85"/>
    <n v="18424"/>
    <n v="283.39999999999998"/>
  </r>
  <r>
    <x v="13"/>
    <x v="1"/>
    <x v="1"/>
    <x v="1"/>
    <s v="Middle East"/>
    <n v="3046.4"/>
    <n v="575"/>
    <n v="497"/>
    <n v="23391"/>
    <n v="656.4"/>
  </r>
  <r>
    <x v="13"/>
    <x v="1"/>
    <x v="1"/>
    <x v="2"/>
    <s v="Africa"/>
    <n v="5563.8"/>
    <n v="429"/>
    <n v="200"/>
    <n v="19585"/>
    <n v="70.900000000000006"/>
  </r>
  <r>
    <x v="13"/>
    <x v="1"/>
    <x v="1"/>
    <x v="3"/>
    <s v="Middle East"/>
    <n v="1830.6"/>
    <n v="324"/>
    <n v="90"/>
    <n v="5811"/>
    <n v="1680.8"/>
  </r>
  <r>
    <x v="13"/>
    <x v="1"/>
    <x v="1"/>
    <x v="4"/>
    <s v="Asia"/>
    <n v="7915.2"/>
    <n v="342"/>
    <n v="421"/>
    <n v="29719"/>
    <n v="326.10000000000002"/>
  </r>
  <r>
    <x v="13"/>
    <x v="1"/>
    <x v="1"/>
    <x v="5"/>
    <s v="Middle East"/>
    <n v="3696.3"/>
    <n v="247"/>
    <n v="49"/>
    <n v="22904"/>
    <n v="895.9"/>
  </r>
  <r>
    <x v="13"/>
    <x v="1"/>
    <x v="1"/>
    <x v="6"/>
    <s v="Asia"/>
    <n v="3860.8"/>
    <n v="107"/>
    <n v="98"/>
    <n v="27306"/>
    <n v="137.1"/>
  </r>
  <r>
    <x v="13"/>
    <x v="1"/>
    <x v="1"/>
    <x v="7"/>
    <s v="Asia"/>
    <n v="2016.2"/>
    <n v="189"/>
    <n v="250"/>
    <n v="18006"/>
    <n v="1011.9"/>
  </r>
  <r>
    <x v="14"/>
    <x v="1"/>
    <x v="2"/>
    <x v="0"/>
    <s v="Europe"/>
    <n v="856.1"/>
    <n v="161"/>
    <n v="423"/>
    <n v="19490"/>
    <n v="1315.8"/>
  </r>
  <r>
    <x v="14"/>
    <x v="1"/>
    <x v="2"/>
    <x v="1"/>
    <s v="Middle East"/>
    <n v="5427.6"/>
    <n v="462"/>
    <n v="38"/>
    <n v="11631"/>
    <n v="1102.0999999999999"/>
  </r>
  <r>
    <x v="14"/>
    <x v="1"/>
    <x v="2"/>
    <x v="2"/>
    <s v="Africa"/>
    <n v="2840"/>
    <n v="509"/>
    <n v="246"/>
    <n v="23290"/>
    <n v="1711.4"/>
  </r>
  <r>
    <x v="14"/>
    <x v="1"/>
    <x v="2"/>
    <x v="3"/>
    <s v="Middle East"/>
    <n v="4137.3999999999996"/>
    <n v="547"/>
    <n v="297"/>
    <n v="25657"/>
    <n v="714.2"/>
  </r>
  <r>
    <x v="14"/>
    <x v="1"/>
    <x v="2"/>
    <x v="4"/>
    <s v="Asia"/>
    <n v="4090.8"/>
    <n v="328"/>
    <n v="61"/>
    <n v="12558"/>
    <n v="1838.8"/>
  </r>
  <r>
    <x v="14"/>
    <x v="1"/>
    <x v="2"/>
    <x v="5"/>
    <s v="Middle East"/>
    <n v="5120.5"/>
    <n v="122"/>
    <n v="176"/>
    <n v="6556"/>
    <n v="98.4"/>
  </r>
  <r>
    <x v="14"/>
    <x v="1"/>
    <x v="2"/>
    <x v="6"/>
    <s v="Asia"/>
    <n v="7434.2"/>
    <n v="279"/>
    <n v="160"/>
    <n v="18355"/>
    <n v="64.3"/>
  </r>
  <r>
    <x v="14"/>
    <x v="1"/>
    <x v="2"/>
    <x v="7"/>
    <s v="Asia"/>
    <n v="2368.6"/>
    <n v="427"/>
    <n v="320"/>
    <n v="29472"/>
    <n v="1259.7"/>
  </r>
  <r>
    <x v="15"/>
    <x v="1"/>
    <x v="3"/>
    <x v="0"/>
    <s v="Europe"/>
    <n v="3924.5"/>
    <n v="461"/>
    <n v="452"/>
    <n v="21900"/>
    <n v="1928.3"/>
  </r>
  <r>
    <x v="15"/>
    <x v="1"/>
    <x v="3"/>
    <x v="1"/>
    <s v="Middle East"/>
    <n v="6299.6"/>
    <n v="522"/>
    <n v="65"/>
    <n v="22239"/>
    <n v="908.2"/>
  </r>
  <r>
    <x v="15"/>
    <x v="1"/>
    <x v="3"/>
    <x v="2"/>
    <s v="Africa"/>
    <n v="4514.2"/>
    <n v="399"/>
    <n v="485"/>
    <n v="29552"/>
    <n v="612"/>
  </r>
  <r>
    <x v="15"/>
    <x v="1"/>
    <x v="3"/>
    <x v="3"/>
    <s v="Middle East"/>
    <n v="5923.3"/>
    <n v="454"/>
    <n v="179"/>
    <n v="4592"/>
    <n v="129.80000000000001"/>
  </r>
  <r>
    <x v="15"/>
    <x v="1"/>
    <x v="3"/>
    <x v="4"/>
    <s v="Asia"/>
    <n v="6263.3"/>
    <n v="304"/>
    <n v="492"/>
    <n v="14484"/>
    <n v="1956.9"/>
  </r>
  <r>
    <x v="15"/>
    <x v="1"/>
    <x v="3"/>
    <x v="5"/>
    <s v="Middle East"/>
    <n v="3410.3"/>
    <n v="480"/>
    <n v="51"/>
    <n v="17108"/>
    <n v="1614"/>
  </r>
  <r>
    <x v="15"/>
    <x v="1"/>
    <x v="3"/>
    <x v="6"/>
    <s v="Asia"/>
    <n v="7412.7"/>
    <n v="497"/>
    <n v="28"/>
    <n v="11808"/>
    <n v="145"/>
  </r>
  <r>
    <x v="15"/>
    <x v="1"/>
    <x v="3"/>
    <x v="7"/>
    <s v="Asia"/>
    <n v="1052.4000000000001"/>
    <n v="411"/>
    <n v="359"/>
    <n v="23437"/>
    <n v="1737.6"/>
  </r>
  <r>
    <x v="16"/>
    <x v="1"/>
    <x v="4"/>
    <x v="0"/>
    <s v="Europe"/>
    <n v="5967.6"/>
    <n v="484"/>
    <n v="33"/>
    <n v="7801"/>
    <n v="1262.7"/>
  </r>
  <r>
    <x v="16"/>
    <x v="1"/>
    <x v="4"/>
    <x v="1"/>
    <s v="Middle East"/>
    <n v="6893.4"/>
    <n v="22"/>
    <n v="262"/>
    <n v="20641"/>
    <n v="107.7"/>
  </r>
  <r>
    <x v="16"/>
    <x v="1"/>
    <x v="4"/>
    <x v="2"/>
    <s v="Africa"/>
    <n v="3330.6"/>
    <n v="539"/>
    <n v="339"/>
    <n v="7892"/>
    <n v="1712.9"/>
  </r>
  <r>
    <x v="16"/>
    <x v="1"/>
    <x v="4"/>
    <x v="3"/>
    <s v="Middle East"/>
    <n v="2914.6"/>
    <n v="514"/>
    <n v="156"/>
    <n v="18119"/>
    <n v="824"/>
  </r>
  <r>
    <x v="16"/>
    <x v="1"/>
    <x v="4"/>
    <x v="4"/>
    <s v="Asia"/>
    <n v="2343.6"/>
    <n v="534"/>
    <n v="101"/>
    <n v="3459"/>
    <n v="716.8"/>
  </r>
  <r>
    <x v="16"/>
    <x v="1"/>
    <x v="4"/>
    <x v="5"/>
    <s v="Middle East"/>
    <n v="5797.6"/>
    <n v="488"/>
    <n v="499"/>
    <n v="9594"/>
    <n v="845.5"/>
  </r>
  <r>
    <x v="16"/>
    <x v="1"/>
    <x v="4"/>
    <x v="6"/>
    <s v="Asia"/>
    <n v="1267.2"/>
    <n v="353"/>
    <n v="498"/>
    <n v="21325"/>
    <n v="1210.7"/>
  </r>
  <r>
    <x v="16"/>
    <x v="1"/>
    <x v="4"/>
    <x v="7"/>
    <s v="Asia"/>
    <n v="3260.5"/>
    <n v="550"/>
    <n v="253"/>
    <n v="4896"/>
    <n v="762.5"/>
  </r>
  <r>
    <x v="17"/>
    <x v="1"/>
    <x v="5"/>
    <x v="0"/>
    <s v="Europe"/>
    <n v="723.9"/>
    <n v="137"/>
    <n v="18"/>
    <n v="14145"/>
    <n v="1287.4000000000001"/>
  </r>
  <r>
    <x v="17"/>
    <x v="1"/>
    <x v="5"/>
    <x v="1"/>
    <s v="Middle East"/>
    <n v="2877.7"/>
    <n v="263"/>
    <n v="480"/>
    <n v="22806"/>
    <n v="1104.7"/>
  </r>
  <r>
    <x v="17"/>
    <x v="1"/>
    <x v="5"/>
    <x v="2"/>
    <s v="Africa"/>
    <n v="2419.4"/>
    <n v="540"/>
    <n v="125"/>
    <n v="10434"/>
    <n v="1822.7"/>
  </r>
  <r>
    <x v="17"/>
    <x v="1"/>
    <x v="5"/>
    <x v="3"/>
    <s v="Middle East"/>
    <n v="4330.3999999999996"/>
    <n v="450"/>
    <n v="299"/>
    <n v="19949"/>
    <n v="633.79999999999995"/>
  </r>
  <r>
    <x v="17"/>
    <x v="1"/>
    <x v="5"/>
    <x v="4"/>
    <s v="Asia"/>
    <n v="2082.6999999999998"/>
    <n v="207"/>
    <n v="86"/>
    <n v="26355"/>
    <n v="602.29999999999995"/>
  </r>
  <r>
    <x v="17"/>
    <x v="1"/>
    <x v="5"/>
    <x v="5"/>
    <s v="Middle East"/>
    <n v="4579.6000000000004"/>
    <n v="479"/>
    <n v="394"/>
    <n v="13713"/>
    <n v="978.7"/>
  </r>
  <r>
    <x v="17"/>
    <x v="1"/>
    <x v="5"/>
    <x v="6"/>
    <s v="Asia"/>
    <n v="7958.7"/>
    <n v="411"/>
    <n v="409"/>
    <n v="27174"/>
    <n v="1585.8"/>
  </r>
  <r>
    <x v="17"/>
    <x v="1"/>
    <x v="5"/>
    <x v="7"/>
    <s v="Asia"/>
    <n v="1644.4"/>
    <n v="346"/>
    <n v="59"/>
    <n v="19934"/>
    <n v="1912.9"/>
  </r>
  <r>
    <x v="18"/>
    <x v="1"/>
    <x v="6"/>
    <x v="0"/>
    <s v="Europe"/>
    <n v="4199.3"/>
    <n v="271"/>
    <n v="27"/>
    <n v="28833"/>
    <n v="250.9"/>
  </r>
  <r>
    <x v="18"/>
    <x v="1"/>
    <x v="6"/>
    <x v="1"/>
    <s v="Middle East"/>
    <n v="520.4"/>
    <n v="162"/>
    <n v="42"/>
    <n v="14198"/>
    <n v="1056.4000000000001"/>
  </r>
  <r>
    <x v="18"/>
    <x v="1"/>
    <x v="6"/>
    <x v="2"/>
    <s v="Africa"/>
    <n v="2638"/>
    <n v="49"/>
    <n v="64"/>
    <n v="12150"/>
    <n v="168"/>
  </r>
  <r>
    <x v="18"/>
    <x v="1"/>
    <x v="6"/>
    <x v="3"/>
    <s v="Middle East"/>
    <n v="5645.9"/>
    <n v="140"/>
    <n v="158"/>
    <n v="12429"/>
    <n v="862.4"/>
  </r>
  <r>
    <x v="18"/>
    <x v="1"/>
    <x v="6"/>
    <x v="4"/>
    <s v="Asia"/>
    <n v="213"/>
    <n v="85"/>
    <n v="432"/>
    <n v="1035"/>
    <n v="1040.9000000000001"/>
  </r>
  <r>
    <x v="18"/>
    <x v="1"/>
    <x v="6"/>
    <x v="5"/>
    <s v="Middle East"/>
    <n v="4018.1"/>
    <n v="213"/>
    <n v="221"/>
    <n v="23636"/>
    <n v="1690.3"/>
  </r>
  <r>
    <x v="18"/>
    <x v="1"/>
    <x v="6"/>
    <x v="6"/>
    <s v="Asia"/>
    <n v="2230.6999999999998"/>
    <n v="207"/>
    <n v="128"/>
    <n v="14916"/>
    <n v="1382.4"/>
  </r>
  <r>
    <x v="18"/>
    <x v="1"/>
    <x v="6"/>
    <x v="7"/>
    <s v="Asia"/>
    <n v="1980.4"/>
    <n v="211"/>
    <n v="465"/>
    <n v="2408"/>
    <n v="948.5"/>
  </r>
  <r>
    <x v="19"/>
    <x v="1"/>
    <x v="7"/>
    <x v="0"/>
    <s v="Europe"/>
    <n v="5750.2"/>
    <n v="107"/>
    <n v="33"/>
    <n v="5007"/>
    <n v="1841.7"/>
  </r>
  <r>
    <x v="19"/>
    <x v="1"/>
    <x v="7"/>
    <x v="1"/>
    <s v="Middle East"/>
    <n v="272.2"/>
    <n v="129"/>
    <n v="25"/>
    <n v="4208"/>
    <n v="1259.3"/>
  </r>
  <r>
    <x v="19"/>
    <x v="1"/>
    <x v="7"/>
    <x v="2"/>
    <s v="Africa"/>
    <n v="2084.8000000000002"/>
    <n v="350"/>
    <n v="299"/>
    <n v="25633"/>
    <n v="59.2"/>
  </r>
  <r>
    <x v="19"/>
    <x v="1"/>
    <x v="7"/>
    <x v="3"/>
    <s v="Middle East"/>
    <n v="6856.3"/>
    <n v="379"/>
    <n v="89"/>
    <n v="23415"/>
    <n v="1718.2"/>
  </r>
  <r>
    <x v="19"/>
    <x v="1"/>
    <x v="7"/>
    <x v="4"/>
    <s v="Asia"/>
    <n v="2183.3000000000002"/>
    <n v="552"/>
    <n v="232"/>
    <n v="18499"/>
    <n v="1970.1"/>
  </r>
  <r>
    <x v="19"/>
    <x v="1"/>
    <x v="7"/>
    <x v="5"/>
    <s v="Middle East"/>
    <n v="3020"/>
    <n v="491"/>
    <n v="166"/>
    <n v="24177"/>
    <n v="1221.4000000000001"/>
  </r>
  <r>
    <x v="19"/>
    <x v="1"/>
    <x v="7"/>
    <x v="6"/>
    <s v="Asia"/>
    <n v="1887.6"/>
    <n v="260"/>
    <n v="165"/>
    <n v="3265"/>
    <n v="108.2"/>
  </r>
  <r>
    <x v="19"/>
    <x v="1"/>
    <x v="7"/>
    <x v="7"/>
    <s v="Asia"/>
    <n v="2902.5"/>
    <n v="31"/>
    <n v="91"/>
    <n v="22030"/>
    <n v="1430.8"/>
  </r>
  <r>
    <x v="20"/>
    <x v="1"/>
    <x v="8"/>
    <x v="0"/>
    <s v="Europe"/>
    <n v="5960.9"/>
    <n v="203"/>
    <n v="446"/>
    <n v="18221"/>
    <n v="295.8"/>
  </r>
  <r>
    <x v="20"/>
    <x v="1"/>
    <x v="8"/>
    <x v="1"/>
    <s v="Middle East"/>
    <n v="1321"/>
    <n v="421"/>
    <n v="94"/>
    <n v="15711"/>
    <n v="1984"/>
  </r>
  <r>
    <x v="20"/>
    <x v="1"/>
    <x v="8"/>
    <x v="2"/>
    <s v="Africa"/>
    <n v="231.3"/>
    <n v="29"/>
    <n v="496"/>
    <n v="17954"/>
    <n v="297.5"/>
  </r>
  <r>
    <x v="20"/>
    <x v="1"/>
    <x v="8"/>
    <x v="3"/>
    <s v="Middle East"/>
    <n v="7199"/>
    <n v="530"/>
    <n v="272"/>
    <n v="19031"/>
    <n v="582.70000000000005"/>
  </r>
  <r>
    <x v="20"/>
    <x v="1"/>
    <x v="8"/>
    <x v="4"/>
    <s v="Asia"/>
    <n v="594.1"/>
    <n v="364"/>
    <n v="154"/>
    <n v="20245"/>
    <n v="1680.7"/>
  </r>
  <r>
    <x v="20"/>
    <x v="1"/>
    <x v="8"/>
    <x v="5"/>
    <s v="Middle East"/>
    <n v="341.7"/>
    <n v="365"/>
    <n v="123"/>
    <n v="26342"/>
    <n v="544.6"/>
  </r>
  <r>
    <x v="20"/>
    <x v="1"/>
    <x v="8"/>
    <x v="6"/>
    <s v="Asia"/>
    <n v="4964"/>
    <n v="341"/>
    <n v="204"/>
    <n v="20651"/>
    <n v="1465.3"/>
  </r>
  <r>
    <x v="20"/>
    <x v="1"/>
    <x v="8"/>
    <x v="7"/>
    <s v="Asia"/>
    <n v="4622.1000000000004"/>
    <n v="459"/>
    <n v="491"/>
    <n v="13158"/>
    <n v="1053.4000000000001"/>
  </r>
  <r>
    <x v="21"/>
    <x v="1"/>
    <x v="9"/>
    <x v="0"/>
    <s v="Europe"/>
    <n v="297.3"/>
    <n v="481"/>
    <n v="264"/>
    <n v="12830"/>
    <n v="233.4"/>
  </r>
  <r>
    <x v="21"/>
    <x v="1"/>
    <x v="9"/>
    <x v="1"/>
    <s v="Middle East"/>
    <n v="7139.3"/>
    <n v="249"/>
    <n v="344"/>
    <n v="5331"/>
    <n v="1925"/>
  </r>
  <r>
    <x v="21"/>
    <x v="1"/>
    <x v="9"/>
    <x v="2"/>
    <s v="Africa"/>
    <n v="1591.8"/>
    <n v="135"/>
    <n v="430"/>
    <n v="27464"/>
    <n v="463.7"/>
  </r>
  <r>
    <x v="21"/>
    <x v="1"/>
    <x v="9"/>
    <x v="3"/>
    <s v="Middle East"/>
    <n v="3864.4"/>
    <n v="445"/>
    <n v="440"/>
    <n v="11992"/>
    <n v="1058.2"/>
  </r>
  <r>
    <x v="21"/>
    <x v="1"/>
    <x v="9"/>
    <x v="4"/>
    <s v="Asia"/>
    <n v="5985.4"/>
    <n v="444"/>
    <n v="393"/>
    <n v="17528"/>
    <n v="254"/>
  </r>
  <r>
    <x v="21"/>
    <x v="1"/>
    <x v="9"/>
    <x v="5"/>
    <s v="Middle East"/>
    <n v="7251"/>
    <n v="522"/>
    <n v="401"/>
    <n v="3896"/>
    <n v="448.6"/>
  </r>
  <r>
    <x v="21"/>
    <x v="1"/>
    <x v="9"/>
    <x v="6"/>
    <s v="Asia"/>
    <n v="6000.1"/>
    <n v="33"/>
    <n v="489"/>
    <n v="11937"/>
    <n v="1452.7"/>
  </r>
  <r>
    <x v="21"/>
    <x v="1"/>
    <x v="9"/>
    <x v="7"/>
    <s v="Asia"/>
    <n v="7123.1"/>
    <n v="248"/>
    <n v="166"/>
    <n v="18653"/>
    <n v="1182.9000000000001"/>
  </r>
  <r>
    <x v="22"/>
    <x v="1"/>
    <x v="10"/>
    <x v="0"/>
    <s v="Europe"/>
    <n v="3391.3"/>
    <n v="369"/>
    <n v="468"/>
    <n v="14561"/>
    <n v="433.6"/>
  </r>
  <r>
    <x v="22"/>
    <x v="1"/>
    <x v="10"/>
    <x v="1"/>
    <s v="Middle East"/>
    <n v="3142.2"/>
    <n v="248"/>
    <n v="74"/>
    <n v="5723"/>
    <n v="1384.9"/>
  </r>
  <r>
    <x v="22"/>
    <x v="1"/>
    <x v="10"/>
    <x v="2"/>
    <s v="Africa"/>
    <n v="2847.9"/>
    <n v="573"/>
    <n v="129"/>
    <n v="3868"/>
    <n v="1519.3"/>
  </r>
  <r>
    <x v="22"/>
    <x v="1"/>
    <x v="10"/>
    <x v="3"/>
    <s v="Middle East"/>
    <n v="7072.1"/>
    <n v="181"/>
    <n v="109"/>
    <n v="6387"/>
    <n v="1067.9000000000001"/>
  </r>
  <r>
    <x v="22"/>
    <x v="1"/>
    <x v="10"/>
    <x v="4"/>
    <s v="Asia"/>
    <n v="3853.6"/>
    <n v="170"/>
    <n v="32"/>
    <n v="14963"/>
    <n v="1920.7"/>
  </r>
  <r>
    <x v="22"/>
    <x v="1"/>
    <x v="10"/>
    <x v="5"/>
    <s v="Middle East"/>
    <n v="5289.6"/>
    <n v="307"/>
    <n v="64"/>
    <n v="8320"/>
    <n v="624.79999999999995"/>
  </r>
  <r>
    <x v="22"/>
    <x v="1"/>
    <x v="10"/>
    <x v="6"/>
    <s v="Asia"/>
    <n v="6165.5"/>
    <n v="528"/>
    <n v="451"/>
    <n v="29552"/>
    <n v="1965.6"/>
  </r>
  <r>
    <x v="22"/>
    <x v="1"/>
    <x v="10"/>
    <x v="7"/>
    <s v="Asia"/>
    <n v="7633.4"/>
    <n v="61"/>
    <n v="77"/>
    <n v="9829"/>
    <n v="1128.2"/>
  </r>
  <r>
    <x v="23"/>
    <x v="1"/>
    <x v="11"/>
    <x v="0"/>
    <s v="Europe"/>
    <n v="956.4"/>
    <n v="510"/>
    <n v="312"/>
    <n v="16728"/>
    <n v="372.4"/>
  </r>
  <r>
    <x v="23"/>
    <x v="1"/>
    <x v="11"/>
    <x v="1"/>
    <s v="Middle East"/>
    <n v="2175.4"/>
    <n v="112"/>
    <n v="427"/>
    <n v="17942"/>
    <n v="1483.5"/>
  </r>
  <r>
    <x v="23"/>
    <x v="1"/>
    <x v="11"/>
    <x v="2"/>
    <s v="Africa"/>
    <n v="2509.1"/>
    <n v="235"/>
    <n v="208"/>
    <n v="23040"/>
    <n v="1556.1"/>
  </r>
  <r>
    <x v="23"/>
    <x v="1"/>
    <x v="11"/>
    <x v="3"/>
    <s v="Middle East"/>
    <n v="1813.1"/>
    <n v="566"/>
    <n v="69"/>
    <n v="26987"/>
    <n v="245.8"/>
  </r>
  <r>
    <x v="23"/>
    <x v="1"/>
    <x v="11"/>
    <x v="4"/>
    <s v="Asia"/>
    <n v="2263.4"/>
    <n v="510"/>
    <n v="97"/>
    <n v="12993"/>
    <n v="927.2"/>
  </r>
  <r>
    <x v="23"/>
    <x v="1"/>
    <x v="11"/>
    <x v="5"/>
    <s v="Middle East"/>
    <n v="2113"/>
    <n v="431"/>
    <n v="427"/>
    <n v="26362"/>
    <n v="711.7"/>
  </r>
  <r>
    <x v="23"/>
    <x v="1"/>
    <x v="11"/>
    <x v="6"/>
    <s v="Asia"/>
    <n v="4340.6000000000004"/>
    <n v="164"/>
    <n v="129"/>
    <n v="5676"/>
    <n v="1883"/>
  </r>
  <r>
    <x v="23"/>
    <x v="1"/>
    <x v="11"/>
    <x v="7"/>
    <s v="Asia"/>
    <n v="7126.3"/>
    <n v="470"/>
    <n v="263"/>
    <n v="15227"/>
    <n v="1083"/>
  </r>
  <r>
    <x v="24"/>
    <x v="2"/>
    <x v="0"/>
    <x v="0"/>
    <s v="Europe"/>
    <n v="4385.2"/>
    <n v="272"/>
    <n v="74"/>
    <n v="4644"/>
    <n v="1906.9"/>
  </r>
  <r>
    <x v="24"/>
    <x v="2"/>
    <x v="0"/>
    <x v="1"/>
    <s v="Middle East"/>
    <n v="3959.8"/>
    <n v="572"/>
    <n v="90"/>
    <n v="17078"/>
    <n v="455"/>
  </r>
  <r>
    <x v="24"/>
    <x v="2"/>
    <x v="0"/>
    <x v="2"/>
    <s v="Africa"/>
    <n v="2174.8000000000002"/>
    <n v="37"/>
    <n v="68"/>
    <n v="27588"/>
    <n v="677"/>
  </r>
  <r>
    <x v="24"/>
    <x v="2"/>
    <x v="0"/>
    <x v="3"/>
    <s v="Middle East"/>
    <n v="4943.3999999999996"/>
    <n v="289"/>
    <n v="206"/>
    <n v="16424"/>
    <n v="415.1"/>
  </r>
  <r>
    <x v="24"/>
    <x v="2"/>
    <x v="0"/>
    <x v="4"/>
    <s v="Asia"/>
    <n v="7911.1"/>
    <n v="494"/>
    <n v="373"/>
    <n v="14594"/>
    <n v="348.1"/>
  </r>
  <r>
    <x v="24"/>
    <x v="2"/>
    <x v="0"/>
    <x v="5"/>
    <s v="Middle East"/>
    <n v="7381.2"/>
    <n v="218"/>
    <n v="34"/>
    <n v="10929"/>
    <n v="1599.2"/>
  </r>
  <r>
    <x v="24"/>
    <x v="2"/>
    <x v="0"/>
    <x v="6"/>
    <s v="Asia"/>
    <n v="5057.1000000000004"/>
    <n v="455"/>
    <n v="398"/>
    <n v="7146"/>
    <n v="1851.4"/>
  </r>
  <r>
    <x v="24"/>
    <x v="2"/>
    <x v="0"/>
    <x v="7"/>
    <s v="Asia"/>
    <n v="3616.3"/>
    <n v="390"/>
    <n v="11"/>
    <n v="29807"/>
    <n v="597.70000000000005"/>
  </r>
  <r>
    <x v="25"/>
    <x v="2"/>
    <x v="1"/>
    <x v="0"/>
    <s v="Europe"/>
    <n v="684.1"/>
    <n v="285"/>
    <n v="73"/>
    <n v="5417"/>
    <n v="1283"/>
  </r>
  <r>
    <x v="25"/>
    <x v="2"/>
    <x v="1"/>
    <x v="1"/>
    <s v="Middle East"/>
    <n v="3264.8"/>
    <n v="554"/>
    <n v="166"/>
    <n v="22059"/>
    <n v="949.1"/>
  </r>
  <r>
    <x v="25"/>
    <x v="2"/>
    <x v="1"/>
    <x v="2"/>
    <s v="Africa"/>
    <n v="5347.6"/>
    <n v="367"/>
    <n v="241"/>
    <n v="28551"/>
    <n v="718.3"/>
  </r>
  <r>
    <x v="25"/>
    <x v="2"/>
    <x v="1"/>
    <x v="3"/>
    <s v="Middle East"/>
    <n v="1582.4"/>
    <n v="413"/>
    <n v="424"/>
    <n v="2167"/>
    <n v="926.8"/>
  </r>
  <r>
    <x v="25"/>
    <x v="2"/>
    <x v="1"/>
    <x v="4"/>
    <s v="Asia"/>
    <n v="7161.4"/>
    <n v="454"/>
    <n v="495"/>
    <n v="16411"/>
    <n v="1337"/>
  </r>
  <r>
    <x v="25"/>
    <x v="2"/>
    <x v="1"/>
    <x v="5"/>
    <s v="Middle East"/>
    <n v="2559.3000000000002"/>
    <n v="569"/>
    <n v="189"/>
    <n v="22416"/>
    <n v="836.1"/>
  </r>
  <r>
    <x v="25"/>
    <x v="2"/>
    <x v="1"/>
    <x v="6"/>
    <s v="Asia"/>
    <n v="4582.2"/>
    <n v="437"/>
    <n v="259"/>
    <n v="27305"/>
    <n v="867.6"/>
  </r>
  <r>
    <x v="25"/>
    <x v="2"/>
    <x v="1"/>
    <x v="7"/>
    <s v="Asia"/>
    <n v="5247.2"/>
    <n v="218"/>
    <n v="209"/>
    <n v="13761"/>
    <n v="295.3"/>
  </r>
  <r>
    <x v="26"/>
    <x v="2"/>
    <x v="2"/>
    <x v="0"/>
    <s v="Europe"/>
    <n v="915.4"/>
    <n v="407"/>
    <n v="331"/>
    <n v="20224"/>
    <n v="88.5"/>
  </r>
  <r>
    <x v="26"/>
    <x v="2"/>
    <x v="2"/>
    <x v="1"/>
    <s v="Middle East"/>
    <n v="2747.1"/>
    <n v="134"/>
    <n v="391"/>
    <n v="25958"/>
    <n v="531"/>
  </r>
  <r>
    <x v="26"/>
    <x v="2"/>
    <x v="2"/>
    <x v="2"/>
    <s v="Africa"/>
    <n v="5409.2"/>
    <n v="95"/>
    <n v="144"/>
    <n v="5020"/>
    <n v="602.9"/>
  </r>
  <r>
    <x v="26"/>
    <x v="2"/>
    <x v="2"/>
    <x v="3"/>
    <s v="Middle East"/>
    <n v="5462.9"/>
    <n v="547"/>
    <n v="109"/>
    <n v="16720"/>
    <n v="1417.7"/>
  </r>
  <r>
    <x v="26"/>
    <x v="2"/>
    <x v="2"/>
    <x v="4"/>
    <s v="Asia"/>
    <n v="7632.8"/>
    <n v="373"/>
    <n v="135"/>
    <n v="19138"/>
    <n v="675"/>
  </r>
  <r>
    <x v="26"/>
    <x v="2"/>
    <x v="2"/>
    <x v="5"/>
    <s v="Middle East"/>
    <n v="7813.8"/>
    <n v="251"/>
    <n v="345"/>
    <n v="1673"/>
    <n v="830.1"/>
  </r>
  <r>
    <x v="26"/>
    <x v="2"/>
    <x v="2"/>
    <x v="6"/>
    <s v="Asia"/>
    <n v="7025.8"/>
    <n v="373"/>
    <n v="227"/>
    <n v="28142"/>
    <n v="1715.3"/>
  </r>
  <r>
    <x v="26"/>
    <x v="2"/>
    <x v="2"/>
    <x v="7"/>
    <s v="Asia"/>
    <n v="2713.3"/>
    <n v="335"/>
    <n v="250"/>
    <n v="19333"/>
    <n v="701.5"/>
  </r>
  <r>
    <x v="27"/>
    <x v="2"/>
    <x v="3"/>
    <x v="0"/>
    <s v="Europe"/>
    <n v="2104.8000000000002"/>
    <n v="549"/>
    <n v="462"/>
    <n v="25456"/>
    <n v="1957.5"/>
  </r>
  <r>
    <x v="27"/>
    <x v="2"/>
    <x v="3"/>
    <x v="1"/>
    <s v="Middle East"/>
    <n v="6010.9"/>
    <n v="463"/>
    <n v="383"/>
    <n v="14937"/>
    <n v="940.1"/>
  </r>
  <r>
    <x v="27"/>
    <x v="2"/>
    <x v="3"/>
    <x v="2"/>
    <s v="Africa"/>
    <n v="2073.8000000000002"/>
    <n v="393"/>
    <n v="151"/>
    <n v="8476"/>
    <n v="1192.5999999999999"/>
  </r>
  <r>
    <x v="27"/>
    <x v="2"/>
    <x v="3"/>
    <x v="3"/>
    <s v="Middle East"/>
    <n v="3397.9"/>
    <n v="146"/>
    <n v="409"/>
    <n v="25956"/>
    <n v="377"/>
  </r>
  <r>
    <x v="27"/>
    <x v="2"/>
    <x v="3"/>
    <x v="4"/>
    <s v="Asia"/>
    <n v="258.60000000000002"/>
    <n v="214"/>
    <n v="400"/>
    <n v="25336"/>
    <n v="319.7"/>
  </r>
  <r>
    <x v="27"/>
    <x v="2"/>
    <x v="3"/>
    <x v="5"/>
    <s v="Middle East"/>
    <n v="6239.8"/>
    <n v="87"/>
    <n v="201"/>
    <n v="29959"/>
    <n v="425.6"/>
  </r>
  <r>
    <x v="27"/>
    <x v="2"/>
    <x v="3"/>
    <x v="6"/>
    <s v="Asia"/>
    <n v="1400.9"/>
    <n v="265"/>
    <n v="313"/>
    <n v="28054"/>
    <n v="1962.6"/>
  </r>
  <r>
    <x v="27"/>
    <x v="2"/>
    <x v="3"/>
    <x v="7"/>
    <s v="Asia"/>
    <n v="743.2"/>
    <n v="100"/>
    <n v="397"/>
    <n v="8848"/>
    <n v="1775.5"/>
  </r>
  <r>
    <x v="28"/>
    <x v="2"/>
    <x v="4"/>
    <x v="0"/>
    <s v="Europe"/>
    <n v="5374.9"/>
    <n v="84"/>
    <n v="417"/>
    <n v="6114"/>
    <n v="875.8"/>
  </r>
  <r>
    <x v="28"/>
    <x v="2"/>
    <x v="4"/>
    <x v="1"/>
    <s v="Middle East"/>
    <n v="4507"/>
    <n v="310"/>
    <n v="346"/>
    <n v="19927"/>
    <n v="1984.5"/>
  </r>
  <r>
    <x v="28"/>
    <x v="2"/>
    <x v="4"/>
    <x v="2"/>
    <s v="Africa"/>
    <n v="7995.5"/>
    <n v="319"/>
    <n v="56"/>
    <n v="22107"/>
    <n v="1954.5"/>
  </r>
  <r>
    <x v="28"/>
    <x v="2"/>
    <x v="4"/>
    <x v="3"/>
    <s v="Middle East"/>
    <n v="2682.9"/>
    <n v="287"/>
    <n v="218"/>
    <n v="2491"/>
    <n v="1360.9"/>
  </r>
  <r>
    <x v="28"/>
    <x v="2"/>
    <x v="4"/>
    <x v="4"/>
    <s v="Asia"/>
    <n v="2956"/>
    <n v="476"/>
    <n v="417"/>
    <n v="24815"/>
    <n v="862.5"/>
  </r>
  <r>
    <x v="28"/>
    <x v="2"/>
    <x v="4"/>
    <x v="5"/>
    <s v="Middle East"/>
    <n v="2708.1"/>
    <n v="454"/>
    <n v="402"/>
    <n v="15246"/>
    <n v="1791.4"/>
  </r>
  <r>
    <x v="28"/>
    <x v="2"/>
    <x v="4"/>
    <x v="6"/>
    <s v="Asia"/>
    <n v="1322.5"/>
    <n v="529"/>
    <n v="57"/>
    <n v="5452"/>
    <n v="1091"/>
  </r>
  <r>
    <x v="28"/>
    <x v="2"/>
    <x v="4"/>
    <x v="7"/>
    <s v="Asia"/>
    <n v="726.6"/>
    <n v="50"/>
    <n v="10"/>
    <n v="13653"/>
    <n v="1560.5"/>
  </r>
  <r>
    <x v="29"/>
    <x v="2"/>
    <x v="5"/>
    <x v="0"/>
    <s v="Europe"/>
    <n v="471.7"/>
    <n v="398"/>
    <n v="413"/>
    <n v="5872"/>
    <n v="336.4"/>
  </r>
  <r>
    <x v="29"/>
    <x v="2"/>
    <x v="5"/>
    <x v="1"/>
    <s v="Middle East"/>
    <n v="6914.2"/>
    <n v="497"/>
    <n v="274"/>
    <n v="24756"/>
    <n v="230.9"/>
  </r>
  <r>
    <x v="29"/>
    <x v="2"/>
    <x v="5"/>
    <x v="2"/>
    <s v="Africa"/>
    <n v="3277"/>
    <n v="447"/>
    <n v="136"/>
    <n v="22817"/>
    <n v="1033.0999999999999"/>
  </r>
  <r>
    <x v="29"/>
    <x v="2"/>
    <x v="5"/>
    <x v="3"/>
    <s v="Middle East"/>
    <n v="6052.1"/>
    <n v="289"/>
    <n v="190"/>
    <n v="7356"/>
    <n v="456.3"/>
  </r>
  <r>
    <x v="29"/>
    <x v="2"/>
    <x v="5"/>
    <x v="4"/>
    <s v="Asia"/>
    <n v="6061.6"/>
    <n v="88"/>
    <n v="52"/>
    <n v="6112"/>
    <n v="391.9"/>
  </r>
  <r>
    <x v="29"/>
    <x v="2"/>
    <x v="5"/>
    <x v="5"/>
    <s v="Middle East"/>
    <n v="6620.2"/>
    <n v="251"/>
    <n v="495"/>
    <n v="4979"/>
    <n v="1324.4"/>
  </r>
  <r>
    <x v="29"/>
    <x v="2"/>
    <x v="5"/>
    <x v="6"/>
    <s v="Asia"/>
    <n v="3700.1"/>
    <n v="247"/>
    <n v="438"/>
    <n v="29292"/>
    <n v="1752.1"/>
  </r>
  <r>
    <x v="29"/>
    <x v="2"/>
    <x v="5"/>
    <x v="7"/>
    <s v="Asia"/>
    <n v="1699.9"/>
    <n v="148"/>
    <n v="331"/>
    <n v="9383"/>
    <n v="1482.7"/>
  </r>
  <r>
    <x v="30"/>
    <x v="2"/>
    <x v="6"/>
    <x v="0"/>
    <s v="Europe"/>
    <n v="4618.1000000000004"/>
    <n v="339"/>
    <n v="415"/>
    <n v="21605"/>
    <n v="101.8"/>
  </r>
  <r>
    <x v="30"/>
    <x v="2"/>
    <x v="6"/>
    <x v="1"/>
    <s v="Middle East"/>
    <n v="585.79999999999995"/>
    <n v="368"/>
    <n v="248"/>
    <n v="8545"/>
    <n v="866.4"/>
  </r>
  <r>
    <x v="30"/>
    <x v="2"/>
    <x v="6"/>
    <x v="2"/>
    <s v="Africa"/>
    <n v="6111.7"/>
    <n v="499"/>
    <n v="284"/>
    <n v="12175"/>
    <n v="577.9"/>
  </r>
  <r>
    <x v="30"/>
    <x v="2"/>
    <x v="6"/>
    <x v="3"/>
    <s v="Middle East"/>
    <n v="4271"/>
    <n v="202"/>
    <n v="286"/>
    <n v="20622"/>
    <n v="178.9"/>
  </r>
  <r>
    <x v="30"/>
    <x v="2"/>
    <x v="6"/>
    <x v="4"/>
    <s v="Asia"/>
    <n v="208.3"/>
    <n v="143"/>
    <n v="448"/>
    <n v="19742"/>
    <n v="385.3"/>
  </r>
  <r>
    <x v="30"/>
    <x v="2"/>
    <x v="6"/>
    <x v="5"/>
    <s v="Middle East"/>
    <n v="7144.1"/>
    <n v="292"/>
    <n v="243"/>
    <n v="28130"/>
    <n v="166"/>
  </r>
  <r>
    <x v="30"/>
    <x v="2"/>
    <x v="6"/>
    <x v="6"/>
    <s v="Asia"/>
    <n v="1878.4"/>
    <n v="359"/>
    <n v="105"/>
    <n v="20706"/>
    <n v="467.5"/>
  </r>
  <r>
    <x v="30"/>
    <x v="2"/>
    <x v="6"/>
    <x v="7"/>
    <s v="Asia"/>
    <n v="973.4"/>
    <n v="140"/>
    <n v="217"/>
    <n v="6108"/>
    <n v="312.60000000000002"/>
  </r>
  <r>
    <x v="31"/>
    <x v="2"/>
    <x v="7"/>
    <x v="0"/>
    <s v="Europe"/>
    <n v="6910.2"/>
    <n v="205"/>
    <n v="186"/>
    <n v="2602"/>
    <n v="746.9"/>
  </r>
  <r>
    <x v="31"/>
    <x v="2"/>
    <x v="7"/>
    <x v="1"/>
    <s v="Middle East"/>
    <n v="2265.5"/>
    <n v="374"/>
    <n v="110"/>
    <n v="26762"/>
    <n v="1862.8"/>
  </r>
  <r>
    <x v="31"/>
    <x v="2"/>
    <x v="7"/>
    <x v="2"/>
    <s v="Africa"/>
    <n v="978.7"/>
    <n v="82"/>
    <n v="66"/>
    <n v="18967"/>
    <n v="287.8"/>
  </r>
  <r>
    <x v="31"/>
    <x v="2"/>
    <x v="7"/>
    <x v="3"/>
    <s v="Middle East"/>
    <n v="6848.6"/>
    <n v="457"/>
    <n v="411"/>
    <n v="16255"/>
    <n v="1993.5"/>
  </r>
  <r>
    <x v="31"/>
    <x v="2"/>
    <x v="7"/>
    <x v="4"/>
    <s v="Asia"/>
    <n v="544.6"/>
    <n v="252"/>
    <n v="168"/>
    <n v="28510"/>
    <n v="1174.9000000000001"/>
  </r>
  <r>
    <x v="31"/>
    <x v="2"/>
    <x v="7"/>
    <x v="5"/>
    <s v="Middle East"/>
    <n v="6488.3"/>
    <n v="118"/>
    <n v="489"/>
    <n v="15460"/>
    <n v="1012.7"/>
  </r>
  <r>
    <x v="31"/>
    <x v="2"/>
    <x v="7"/>
    <x v="6"/>
    <s v="Asia"/>
    <n v="7772.9"/>
    <n v="240"/>
    <n v="204"/>
    <n v="17957"/>
    <n v="299.7"/>
  </r>
  <r>
    <x v="31"/>
    <x v="2"/>
    <x v="7"/>
    <x v="7"/>
    <s v="Asia"/>
    <n v="2704.5"/>
    <n v="132"/>
    <n v="60"/>
    <n v="26118"/>
    <n v="1199.2"/>
  </r>
  <r>
    <x v="32"/>
    <x v="2"/>
    <x v="8"/>
    <x v="0"/>
    <s v="Europe"/>
    <n v="2997.6"/>
    <n v="257"/>
    <n v="221"/>
    <n v="19361"/>
    <n v="1857.2"/>
  </r>
  <r>
    <x v="32"/>
    <x v="2"/>
    <x v="8"/>
    <x v="1"/>
    <s v="Middle East"/>
    <n v="7475.7"/>
    <n v="247"/>
    <n v="171"/>
    <n v="14080"/>
    <n v="1157.5"/>
  </r>
  <r>
    <x v="32"/>
    <x v="2"/>
    <x v="8"/>
    <x v="2"/>
    <s v="Africa"/>
    <n v="3802.2"/>
    <n v="402"/>
    <n v="281"/>
    <n v="10300"/>
    <n v="724.2"/>
  </r>
  <r>
    <x v="32"/>
    <x v="2"/>
    <x v="8"/>
    <x v="3"/>
    <s v="Middle East"/>
    <n v="3153"/>
    <n v="74"/>
    <n v="91"/>
    <n v="21970"/>
    <n v="808.7"/>
  </r>
  <r>
    <x v="32"/>
    <x v="2"/>
    <x v="8"/>
    <x v="4"/>
    <s v="Asia"/>
    <n v="1873.4"/>
    <n v="346"/>
    <n v="380"/>
    <n v="8465"/>
    <n v="1662.2"/>
  </r>
  <r>
    <x v="32"/>
    <x v="2"/>
    <x v="8"/>
    <x v="5"/>
    <s v="Middle East"/>
    <n v="7434.5"/>
    <n v="366"/>
    <n v="337"/>
    <n v="2524"/>
    <n v="1893.8"/>
  </r>
  <r>
    <x v="32"/>
    <x v="2"/>
    <x v="8"/>
    <x v="6"/>
    <s v="Asia"/>
    <n v="3261.4"/>
    <n v="555"/>
    <n v="293"/>
    <n v="1133"/>
    <n v="125.2"/>
  </r>
  <r>
    <x v="32"/>
    <x v="2"/>
    <x v="8"/>
    <x v="7"/>
    <s v="Asia"/>
    <n v="5507.3"/>
    <n v="346"/>
    <n v="23"/>
    <n v="22560"/>
    <n v="1711.7"/>
  </r>
  <r>
    <x v="33"/>
    <x v="2"/>
    <x v="9"/>
    <x v="0"/>
    <s v="Europe"/>
    <n v="4072.1"/>
    <n v="290"/>
    <n v="12"/>
    <n v="23812"/>
    <n v="694.9"/>
  </r>
  <r>
    <x v="33"/>
    <x v="2"/>
    <x v="9"/>
    <x v="1"/>
    <s v="Middle East"/>
    <n v="7054.4"/>
    <n v="236"/>
    <n v="286"/>
    <n v="8839"/>
    <n v="363.1"/>
  </r>
  <r>
    <x v="33"/>
    <x v="2"/>
    <x v="9"/>
    <x v="2"/>
    <s v="Africa"/>
    <n v="6244.3"/>
    <n v="308"/>
    <n v="272"/>
    <n v="28997"/>
    <n v="1929"/>
  </r>
  <r>
    <x v="33"/>
    <x v="2"/>
    <x v="9"/>
    <x v="3"/>
    <s v="Middle East"/>
    <n v="6874"/>
    <n v="128"/>
    <n v="301"/>
    <n v="26466"/>
    <n v="780.2"/>
  </r>
  <r>
    <x v="33"/>
    <x v="2"/>
    <x v="9"/>
    <x v="4"/>
    <s v="Asia"/>
    <n v="988.6"/>
    <n v="490"/>
    <n v="246"/>
    <n v="17367"/>
    <n v="1965.2"/>
  </r>
  <r>
    <x v="33"/>
    <x v="2"/>
    <x v="9"/>
    <x v="5"/>
    <s v="Middle East"/>
    <n v="4936.2"/>
    <n v="266"/>
    <n v="191"/>
    <n v="13110"/>
    <n v="280.89999999999998"/>
  </r>
  <r>
    <x v="33"/>
    <x v="2"/>
    <x v="9"/>
    <x v="6"/>
    <s v="Asia"/>
    <n v="6399.1"/>
    <n v="505"/>
    <n v="149"/>
    <n v="9810"/>
    <n v="1755"/>
  </r>
  <r>
    <x v="33"/>
    <x v="2"/>
    <x v="9"/>
    <x v="7"/>
    <s v="Asia"/>
    <n v="387"/>
    <n v="321"/>
    <n v="237"/>
    <n v="21013"/>
    <n v="368.6"/>
  </r>
  <r>
    <x v="34"/>
    <x v="2"/>
    <x v="10"/>
    <x v="0"/>
    <s v="Europe"/>
    <n v="5413"/>
    <n v="238"/>
    <n v="313"/>
    <n v="2162"/>
    <n v="950.4"/>
  </r>
  <r>
    <x v="34"/>
    <x v="2"/>
    <x v="10"/>
    <x v="1"/>
    <s v="Middle East"/>
    <n v="4273.6000000000004"/>
    <n v="144"/>
    <n v="78"/>
    <n v="6465"/>
    <n v="721.1"/>
  </r>
  <r>
    <x v="34"/>
    <x v="2"/>
    <x v="10"/>
    <x v="2"/>
    <s v="Africa"/>
    <n v="955.1"/>
    <n v="569"/>
    <n v="208"/>
    <n v="24460"/>
    <n v="1950.1"/>
  </r>
  <r>
    <x v="34"/>
    <x v="2"/>
    <x v="10"/>
    <x v="3"/>
    <s v="Middle East"/>
    <n v="829.7"/>
    <n v="397"/>
    <n v="436"/>
    <n v="19392"/>
    <n v="886.6"/>
  </r>
  <r>
    <x v="34"/>
    <x v="2"/>
    <x v="10"/>
    <x v="4"/>
    <s v="Asia"/>
    <n v="3562.4"/>
    <n v="40"/>
    <n v="271"/>
    <n v="29812"/>
    <n v="1919.5"/>
  </r>
  <r>
    <x v="34"/>
    <x v="2"/>
    <x v="10"/>
    <x v="5"/>
    <s v="Middle East"/>
    <n v="515.1"/>
    <n v="429"/>
    <n v="157"/>
    <n v="27186"/>
    <n v="138"/>
  </r>
  <r>
    <x v="34"/>
    <x v="2"/>
    <x v="10"/>
    <x v="6"/>
    <s v="Asia"/>
    <n v="7499.8"/>
    <n v="505"/>
    <n v="67"/>
    <n v="2734"/>
    <n v="1677.7"/>
  </r>
  <r>
    <x v="34"/>
    <x v="2"/>
    <x v="10"/>
    <x v="7"/>
    <s v="Asia"/>
    <n v="1414.9"/>
    <n v="330"/>
    <n v="458"/>
    <n v="17455"/>
    <n v="824.6"/>
  </r>
  <r>
    <x v="35"/>
    <x v="2"/>
    <x v="11"/>
    <x v="0"/>
    <s v="Europe"/>
    <n v="3671.1"/>
    <n v="56"/>
    <n v="484"/>
    <n v="10008"/>
    <n v="419.3"/>
  </r>
  <r>
    <x v="35"/>
    <x v="2"/>
    <x v="11"/>
    <x v="1"/>
    <s v="Middle East"/>
    <n v="2431.1999999999998"/>
    <n v="579"/>
    <n v="56"/>
    <n v="26151"/>
    <n v="1430.3"/>
  </r>
  <r>
    <x v="35"/>
    <x v="2"/>
    <x v="11"/>
    <x v="2"/>
    <s v="Africa"/>
    <n v="6674.1"/>
    <n v="586"/>
    <n v="422"/>
    <n v="28358"/>
    <n v="297.5"/>
  </r>
  <r>
    <x v="35"/>
    <x v="2"/>
    <x v="11"/>
    <x v="3"/>
    <s v="Middle East"/>
    <n v="6407.2"/>
    <n v="336"/>
    <n v="276"/>
    <n v="27068"/>
    <n v="1945"/>
  </r>
  <r>
    <x v="35"/>
    <x v="2"/>
    <x v="11"/>
    <x v="4"/>
    <s v="Asia"/>
    <n v="5697.7"/>
    <n v="300"/>
    <n v="233"/>
    <n v="12203"/>
    <n v="755.1"/>
  </r>
  <r>
    <x v="35"/>
    <x v="2"/>
    <x v="11"/>
    <x v="5"/>
    <s v="Middle East"/>
    <n v="3253.8"/>
    <n v="72"/>
    <n v="47"/>
    <n v="23616"/>
    <n v="919.8"/>
  </r>
  <r>
    <x v="35"/>
    <x v="2"/>
    <x v="11"/>
    <x v="6"/>
    <s v="Asia"/>
    <n v="7459.3"/>
    <n v="375"/>
    <n v="27"/>
    <n v="5568"/>
    <n v="451.3"/>
  </r>
  <r>
    <x v="35"/>
    <x v="2"/>
    <x v="11"/>
    <x v="7"/>
    <s v="Asia"/>
    <n v="7810.7"/>
    <n v="146"/>
    <n v="262"/>
    <n v="28149"/>
    <n v="1955.5"/>
  </r>
  <r>
    <x v="36"/>
    <x v="3"/>
    <x v="0"/>
    <x v="0"/>
    <s v="Europe"/>
    <n v="2043.6"/>
    <n v="48"/>
    <n v="85"/>
    <n v="2836"/>
    <n v="430.5"/>
  </r>
  <r>
    <x v="36"/>
    <x v="3"/>
    <x v="0"/>
    <x v="1"/>
    <s v="Middle East"/>
    <n v="4634.8"/>
    <n v="549"/>
    <n v="273"/>
    <n v="19153"/>
    <n v="443.6"/>
  </r>
  <r>
    <x v="36"/>
    <x v="3"/>
    <x v="0"/>
    <x v="2"/>
    <s v="Africa"/>
    <n v="6444.6"/>
    <n v="378"/>
    <n v="433"/>
    <n v="28516"/>
    <n v="728.4"/>
  </r>
  <r>
    <x v="36"/>
    <x v="3"/>
    <x v="0"/>
    <x v="3"/>
    <s v="Middle East"/>
    <n v="906.5"/>
    <n v="151"/>
    <n v="224"/>
    <n v="28425"/>
    <n v="787.7"/>
  </r>
  <r>
    <x v="36"/>
    <x v="3"/>
    <x v="0"/>
    <x v="4"/>
    <s v="Asia"/>
    <n v="6212"/>
    <n v="333"/>
    <n v="99"/>
    <n v="10301"/>
    <n v="1323.7"/>
  </r>
  <r>
    <x v="36"/>
    <x v="3"/>
    <x v="0"/>
    <x v="5"/>
    <s v="Middle East"/>
    <n v="5448.3"/>
    <n v="272"/>
    <n v="122"/>
    <n v="21935"/>
    <n v="379.3"/>
  </r>
  <r>
    <x v="36"/>
    <x v="3"/>
    <x v="0"/>
    <x v="6"/>
    <s v="Asia"/>
    <n v="7506"/>
    <n v="128"/>
    <n v="62"/>
    <n v="15431"/>
    <n v="1063.0999999999999"/>
  </r>
  <r>
    <x v="36"/>
    <x v="3"/>
    <x v="0"/>
    <x v="7"/>
    <s v="Asia"/>
    <n v="4163.8999999999996"/>
    <n v="273"/>
    <n v="497"/>
    <n v="15102"/>
    <n v="982"/>
  </r>
  <r>
    <x v="37"/>
    <x v="3"/>
    <x v="1"/>
    <x v="0"/>
    <s v="Europe"/>
    <n v="3489.8"/>
    <n v="58"/>
    <n v="300"/>
    <n v="7611"/>
    <n v="1293.3"/>
  </r>
  <r>
    <x v="37"/>
    <x v="3"/>
    <x v="1"/>
    <x v="1"/>
    <s v="Middle East"/>
    <n v="596.5"/>
    <n v="589"/>
    <n v="239"/>
    <n v="27005"/>
    <n v="977.3"/>
  </r>
  <r>
    <x v="37"/>
    <x v="3"/>
    <x v="1"/>
    <x v="2"/>
    <s v="Africa"/>
    <n v="670.6"/>
    <n v="496"/>
    <n v="327"/>
    <n v="23670"/>
    <n v="884.9"/>
  </r>
  <r>
    <x v="37"/>
    <x v="3"/>
    <x v="1"/>
    <x v="3"/>
    <s v="Middle East"/>
    <n v="5175.8999999999996"/>
    <n v="516"/>
    <n v="319"/>
    <n v="11082"/>
    <n v="1341.9"/>
  </r>
  <r>
    <x v="37"/>
    <x v="3"/>
    <x v="1"/>
    <x v="4"/>
    <s v="Asia"/>
    <n v="5440.5"/>
    <n v="577"/>
    <n v="191"/>
    <n v="13327"/>
    <n v="1633.6"/>
  </r>
  <r>
    <x v="37"/>
    <x v="3"/>
    <x v="1"/>
    <x v="5"/>
    <s v="Middle East"/>
    <n v="4144.8999999999996"/>
    <n v="447"/>
    <n v="235"/>
    <n v="7249"/>
    <n v="1503.1"/>
  </r>
  <r>
    <x v="37"/>
    <x v="3"/>
    <x v="1"/>
    <x v="6"/>
    <s v="Asia"/>
    <n v="1223"/>
    <n v="135"/>
    <n v="317"/>
    <n v="22670"/>
    <n v="1794.6"/>
  </r>
  <r>
    <x v="37"/>
    <x v="3"/>
    <x v="1"/>
    <x v="7"/>
    <s v="Asia"/>
    <n v="2326.1999999999998"/>
    <n v="84"/>
    <n v="478"/>
    <n v="5478"/>
    <n v="435.5"/>
  </r>
  <r>
    <x v="38"/>
    <x v="3"/>
    <x v="2"/>
    <x v="0"/>
    <s v="Europe"/>
    <n v="2472.4"/>
    <n v="327"/>
    <n v="442"/>
    <n v="23055"/>
    <n v="1430.9"/>
  </r>
  <r>
    <x v="38"/>
    <x v="3"/>
    <x v="2"/>
    <x v="1"/>
    <s v="Middle East"/>
    <n v="1566.4"/>
    <n v="227"/>
    <n v="244"/>
    <n v="5275"/>
    <n v="583.20000000000005"/>
  </r>
  <r>
    <x v="38"/>
    <x v="3"/>
    <x v="2"/>
    <x v="2"/>
    <s v="Africa"/>
    <n v="2605"/>
    <n v="93"/>
    <n v="279"/>
    <n v="21445"/>
    <n v="186.4"/>
  </r>
  <r>
    <x v="38"/>
    <x v="3"/>
    <x v="2"/>
    <x v="3"/>
    <s v="Middle East"/>
    <n v="3952.8"/>
    <n v="473"/>
    <n v="376"/>
    <n v="24637"/>
    <n v="924.1"/>
  </r>
  <r>
    <x v="38"/>
    <x v="3"/>
    <x v="2"/>
    <x v="4"/>
    <s v="Asia"/>
    <n v="6600.3"/>
    <n v="159"/>
    <n v="186"/>
    <n v="6114"/>
    <n v="961.6"/>
  </r>
  <r>
    <x v="38"/>
    <x v="3"/>
    <x v="2"/>
    <x v="5"/>
    <s v="Middle East"/>
    <n v="3258.1"/>
    <n v="159"/>
    <n v="378"/>
    <n v="10101"/>
    <n v="582"/>
  </r>
  <r>
    <x v="38"/>
    <x v="3"/>
    <x v="2"/>
    <x v="6"/>
    <s v="Asia"/>
    <n v="1220.9000000000001"/>
    <n v="274"/>
    <n v="158"/>
    <n v="11708"/>
    <n v="510.2"/>
  </r>
  <r>
    <x v="38"/>
    <x v="3"/>
    <x v="2"/>
    <x v="7"/>
    <s v="Asia"/>
    <n v="6152.6"/>
    <n v="559"/>
    <n v="253"/>
    <n v="19646"/>
    <n v="1741"/>
  </r>
  <r>
    <x v="39"/>
    <x v="3"/>
    <x v="3"/>
    <x v="0"/>
    <s v="Europe"/>
    <n v="7990.9"/>
    <n v="375"/>
    <n v="445"/>
    <n v="27349"/>
    <n v="1593.3"/>
  </r>
  <r>
    <x v="39"/>
    <x v="3"/>
    <x v="3"/>
    <x v="1"/>
    <s v="Middle East"/>
    <n v="3795.3"/>
    <n v="67"/>
    <n v="17"/>
    <n v="14838"/>
    <n v="1013.9"/>
  </r>
  <r>
    <x v="39"/>
    <x v="3"/>
    <x v="3"/>
    <x v="2"/>
    <s v="Africa"/>
    <n v="3377.4"/>
    <n v="349"/>
    <n v="280"/>
    <n v="25261"/>
    <n v="261.89999999999998"/>
  </r>
  <r>
    <x v="39"/>
    <x v="3"/>
    <x v="3"/>
    <x v="3"/>
    <s v="Middle East"/>
    <n v="1956.4"/>
    <n v="479"/>
    <n v="425"/>
    <n v="29849"/>
    <n v="1752.2"/>
  </r>
  <r>
    <x v="39"/>
    <x v="3"/>
    <x v="3"/>
    <x v="4"/>
    <s v="Asia"/>
    <n v="7141.2"/>
    <n v="202"/>
    <n v="206"/>
    <n v="8774"/>
    <n v="1232.3"/>
  </r>
  <r>
    <x v="39"/>
    <x v="3"/>
    <x v="3"/>
    <x v="5"/>
    <s v="Middle East"/>
    <n v="7522.7"/>
    <n v="219"/>
    <n v="282"/>
    <n v="9592"/>
    <n v="381.1"/>
  </r>
  <r>
    <x v="39"/>
    <x v="3"/>
    <x v="3"/>
    <x v="6"/>
    <s v="Asia"/>
    <n v="1722.4"/>
    <n v="53"/>
    <n v="475"/>
    <n v="12683"/>
    <n v="1676.5"/>
  </r>
  <r>
    <x v="39"/>
    <x v="3"/>
    <x v="3"/>
    <x v="7"/>
    <s v="Asia"/>
    <n v="5514.4"/>
    <n v="131"/>
    <n v="95"/>
    <n v="24547"/>
    <n v="566.20000000000005"/>
  </r>
  <r>
    <x v="40"/>
    <x v="3"/>
    <x v="4"/>
    <x v="0"/>
    <s v="Europe"/>
    <n v="7323.6"/>
    <n v="101"/>
    <n v="342"/>
    <n v="24619"/>
    <n v="508.7"/>
  </r>
  <r>
    <x v="40"/>
    <x v="3"/>
    <x v="4"/>
    <x v="1"/>
    <s v="Middle East"/>
    <n v="2354.4"/>
    <n v="579"/>
    <n v="139"/>
    <n v="13468"/>
    <n v="893.4"/>
  </r>
  <r>
    <x v="40"/>
    <x v="3"/>
    <x v="4"/>
    <x v="2"/>
    <s v="Africa"/>
    <n v="2173.6999999999998"/>
    <n v="469"/>
    <n v="388"/>
    <n v="11971"/>
    <n v="1678.5"/>
  </r>
  <r>
    <x v="40"/>
    <x v="3"/>
    <x v="4"/>
    <x v="3"/>
    <s v="Middle East"/>
    <n v="1862"/>
    <n v="22"/>
    <n v="289"/>
    <n v="29828"/>
    <n v="125.4"/>
  </r>
  <r>
    <x v="40"/>
    <x v="3"/>
    <x v="4"/>
    <x v="4"/>
    <s v="Asia"/>
    <n v="1822.4"/>
    <n v="320"/>
    <n v="406"/>
    <n v="3582"/>
    <n v="820.7"/>
  </r>
  <r>
    <x v="40"/>
    <x v="3"/>
    <x v="4"/>
    <x v="5"/>
    <s v="Middle East"/>
    <n v="6027.2"/>
    <n v="235"/>
    <n v="102"/>
    <n v="6669"/>
    <n v="849.6"/>
  </r>
  <r>
    <x v="40"/>
    <x v="3"/>
    <x v="4"/>
    <x v="6"/>
    <s v="Asia"/>
    <n v="3939.5"/>
    <n v="519"/>
    <n v="324"/>
    <n v="21021"/>
    <n v="1966.8"/>
  </r>
  <r>
    <x v="40"/>
    <x v="3"/>
    <x v="4"/>
    <x v="7"/>
    <s v="Asia"/>
    <n v="3412.4"/>
    <n v="253"/>
    <n v="462"/>
    <n v="8130"/>
    <n v="1473.1"/>
  </r>
  <r>
    <x v="41"/>
    <x v="3"/>
    <x v="5"/>
    <x v="0"/>
    <s v="Europe"/>
    <n v="6085.7"/>
    <n v="76"/>
    <n v="239"/>
    <n v="6816"/>
    <n v="411.5"/>
  </r>
  <r>
    <x v="41"/>
    <x v="3"/>
    <x v="5"/>
    <x v="1"/>
    <s v="Middle East"/>
    <n v="3817.9"/>
    <n v="187"/>
    <n v="400"/>
    <n v="27320"/>
    <n v="1615.3"/>
  </r>
  <r>
    <x v="41"/>
    <x v="3"/>
    <x v="5"/>
    <x v="2"/>
    <s v="Africa"/>
    <n v="2275"/>
    <n v="178"/>
    <n v="134"/>
    <n v="4916"/>
    <n v="1890.4"/>
  </r>
  <r>
    <x v="41"/>
    <x v="3"/>
    <x v="5"/>
    <x v="3"/>
    <s v="Middle East"/>
    <n v="3336"/>
    <n v="150"/>
    <n v="424"/>
    <n v="12576"/>
    <n v="118.5"/>
  </r>
  <r>
    <x v="41"/>
    <x v="3"/>
    <x v="5"/>
    <x v="4"/>
    <s v="Asia"/>
    <n v="1463.1"/>
    <n v="390"/>
    <n v="393"/>
    <n v="7117"/>
    <n v="1838.9"/>
  </r>
  <r>
    <x v="41"/>
    <x v="3"/>
    <x v="5"/>
    <x v="5"/>
    <s v="Middle East"/>
    <n v="6837.8"/>
    <n v="512"/>
    <n v="121"/>
    <n v="2465"/>
    <n v="1741.5"/>
  </r>
  <r>
    <x v="41"/>
    <x v="3"/>
    <x v="5"/>
    <x v="6"/>
    <s v="Asia"/>
    <n v="2585.1999999999998"/>
    <n v="378"/>
    <n v="382"/>
    <n v="4720"/>
    <n v="1572.6"/>
  </r>
  <r>
    <x v="41"/>
    <x v="3"/>
    <x v="5"/>
    <x v="7"/>
    <s v="Asia"/>
    <n v="7520.4"/>
    <n v="442"/>
    <n v="226"/>
    <n v="26423"/>
    <n v="1078.5"/>
  </r>
  <r>
    <x v="42"/>
    <x v="3"/>
    <x v="6"/>
    <x v="0"/>
    <s v="Europe"/>
    <n v="6009.2"/>
    <n v="495"/>
    <n v="377"/>
    <n v="9347"/>
    <n v="279.8"/>
  </r>
  <r>
    <x v="42"/>
    <x v="3"/>
    <x v="6"/>
    <x v="1"/>
    <s v="Middle East"/>
    <n v="2059"/>
    <n v="311"/>
    <n v="257"/>
    <n v="17896"/>
    <n v="820.4"/>
  </r>
  <r>
    <x v="42"/>
    <x v="3"/>
    <x v="6"/>
    <x v="2"/>
    <s v="Africa"/>
    <n v="6337.8"/>
    <n v="549"/>
    <n v="130"/>
    <n v="22359"/>
    <n v="1372"/>
  </r>
  <r>
    <x v="42"/>
    <x v="3"/>
    <x v="6"/>
    <x v="3"/>
    <s v="Middle East"/>
    <n v="4280.1000000000004"/>
    <n v="129"/>
    <n v="399"/>
    <n v="28858"/>
    <n v="1457.6"/>
  </r>
  <r>
    <x v="42"/>
    <x v="3"/>
    <x v="6"/>
    <x v="4"/>
    <s v="Asia"/>
    <n v="7359.3"/>
    <n v="590"/>
    <n v="182"/>
    <n v="19508"/>
    <n v="974.2"/>
  </r>
  <r>
    <x v="42"/>
    <x v="3"/>
    <x v="6"/>
    <x v="5"/>
    <s v="Middle East"/>
    <n v="7895.7"/>
    <n v="74"/>
    <n v="212"/>
    <n v="26390"/>
    <n v="603.9"/>
  </r>
  <r>
    <x v="42"/>
    <x v="3"/>
    <x v="6"/>
    <x v="6"/>
    <s v="Asia"/>
    <n v="6344.8"/>
    <n v="242"/>
    <n v="490"/>
    <n v="26622"/>
    <n v="637.6"/>
  </r>
  <r>
    <x v="42"/>
    <x v="3"/>
    <x v="6"/>
    <x v="7"/>
    <s v="Asia"/>
    <n v="6207.5"/>
    <n v="215"/>
    <n v="307"/>
    <n v="20095"/>
    <n v="1667.7"/>
  </r>
  <r>
    <x v="43"/>
    <x v="3"/>
    <x v="7"/>
    <x v="0"/>
    <s v="Europe"/>
    <n v="390.7"/>
    <n v="147"/>
    <n v="358"/>
    <n v="17342"/>
    <n v="1016.4"/>
  </r>
  <r>
    <x v="43"/>
    <x v="3"/>
    <x v="7"/>
    <x v="1"/>
    <s v="Middle East"/>
    <n v="630.6"/>
    <n v="222"/>
    <n v="433"/>
    <n v="1895"/>
    <n v="823.1"/>
  </r>
  <r>
    <x v="43"/>
    <x v="3"/>
    <x v="7"/>
    <x v="2"/>
    <s v="Africa"/>
    <n v="7572.2"/>
    <n v="49"/>
    <n v="377"/>
    <n v="8470"/>
    <n v="1739.9"/>
  </r>
  <r>
    <x v="43"/>
    <x v="3"/>
    <x v="7"/>
    <x v="3"/>
    <s v="Middle East"/>
    <n v="6019.3"/>
    <n v="533"/>
    <n v="115"/>
    <n v="16407"/>
    <n v="1569.6"/>
  </r>
  <r>
    <x v="43"/>
    <x v="3"/>
    <x v="7"/>
    <x v="4"/>
    <s v="Asia"/>
    <n v="2116.5"/>
    <n v="153"/>
    <n v="23"/>
    <n v="28796"/>
    <n v="1434.5"/>
  </r>
  <r>
    <x v="43"/>
    <x v="3"/>
    <x v="7"/>
    <x v="5"/>
    <s v="Middle East"/>
    <n v="5157.3999999999996"/>
    <n v="451"/>
    <n v="270"/>
    <n v="14807"/>
    <n v="926.6"/>
  </r>
  <r>
    <x v="43"/>
    <x v="3"/>
    <x v="7"/>
    <x v="6"/>
    <s v="Asia"/>
    <n v="5195.3999999999996"/>
    <n v="136"/>
    <n v="445"/>
    <n v="24540"/>
    <n v="731.6"/>
  </r>
  <r>
    <x v="43"/>
    <x v="3"/>
    <x v="7"/>
    <x v="7"/>
    <s v="Asia"/>
    <n v="4713.2"/>
    <n v="101"/>
    <n v="486"/>
    <n v="27183"/>
    <n v="1847.7"/>
  </r>
  <r>
    <x v="44"/>
    <x v="3"/>
    <x v="8"/>
    <x v="0"/>
    <s v="Europe"/>
    <n v="2790.9"/>
    <n v="118"/>
    <n v="113"/>
    <n v="3610"/>
    <n v="284.2"/>
  </r>
  <r>
    <x v="44"/>
    <x v="3"/>
    <x v="8"/>
    <x v="1"/>
    <s v="Middle East"/>
    <n v="756.2"/>
    <n v="594"/>
    <n v="46"/>
    <n v="4843"/>
    <n v="1663.1"/>
  </r>
  <r>
    <x v="44"/>
    <x v="3"/>
    <x v="8"/>
    <x v="2"/>
    <s v="Africa"/>
    <n v="4725.8999999999996"/>
    <n v="469"/>
    <n v="319"/>
    <n v="26583"/>
    <n v="1295"/>
  </r>
  <r>
    <x v="44"/>
    <x v="3"/>
    <x v="8"/>
    <x v="3"/>
    <s v="Middle East"/>
    <n v="4272.6000000000004"/>
    <n v="433"/>
    <n v="229"/>
    <n v="11035"/>
    <n v="961.9"/>
  </r>
  <r>
    <x v="44"/>
    <x v="3"/>
    <x v="8"/>
    <x v="4"/>
    <s v="Asia"/>
    <n v="1523.8"/>
    <n v="482"/>
    <n v="137"/>
    <n v="5452"/>
    <n v="530.4"/>
  </r>
  <r>
    <x v="44"/>
    <x v="3"/>
    <x v="8"/>
    <x v="5"/>
    <s v="Middle East"/>
    <n v="6768.1"/>
    <n v="211"/>
    <n v="346"/>
    <n v="25835"/>
    <n v="201.6"/>
  </r>
  <r>
    <x v="44"/>
    <x v="3"/>
    <x v="8"/>
    <x v="6"/>
    <s v="Asia"/>
    <n v="6167.2"/>
    <n v="198"/>
    <n v="116"/>
    <n v="20978"/>
    <n v="1824.1"/>
  </r>
  <r>
    <x v="44"/>
    <x v="3"/>
    <x v="8"/>
    <x v="7"/>
    <s v="Asia"/>
    <n v="2501.1"/>
    <n v="349"/>
    <n v="152"/>
    <n v="17074"/>
    <n v="1262.5999999999999"/>
  </r>
  <r>
    <x v="45"/>
    <x v="3"/>
    <x v="9"/>
    <x v="0"/>
    <s v="Europe"/>
    <n v="4960.6000000000004"/>
    <n v="381"/>
    <n v="76"/>
    <n v="21112"/>
    <n v="1365.8"/>
  </r>
  <r>
    <x v="45"/>
    <x v="3"/>
    <x v="9"/>
    <x v="1"/>
    <s v="Middle East"/>
    <n v="5524.2"/>
    <n v="62"/>
    <n v="228"/>
    <n v="12862"/>
    <n v="219.1"/>
  </r>
  <r>
    <x v="45"/>
    <x v="3"/>
    <x v="9"/>
    <x v="2"/>
    <s v="Africa"/>
    <n v="1934.5"/>
    <n v="275"/>
    <n v="374"/>
    <n v="7874"/>
    <n v="1668"/>
  </r>
  <r>
    <x v="45"/>
    <x v="3"/>
    <x v="9"/>
    <x v="3"/>
    <s v="Middle East"/>
    <n v="4457.2"/>
    <n v="461"/>
    <n v="241"/>
    <n v="15476"/>
    <n v="1258.5"/>
  </r>
  <r>
    <x v="45"/>
    <x v="3"/>
    <x v="9"/>
    <x v="4"/>
    <s v="Asia"/>
    <n v="7438.2"/>
    <n v="305"/>
    <n v="269"/>
    <n v="18457"/>
    <n v="1488.2"/>
  </r>
  <r>
    <x v="45"/>
    <x v="3"/>
    <x v="9"/>
    <x v="5"/>
    <s v="Middle East"/>
    <n v="760.4"/>
    <n v="319"/>
    <n v="245"/>
    <n v="27728"/>
    <n v="1012.3"/>
  </r>
  <r>
    <x v="45"/>
    <x v="3"/>
    <x v="9"/>
    <x v="6"/>
    <s v="Asia"/>
    <n v="3852.9"/>
    <n v="578"/>
    <n v="230"/>
    <n v="6245"/>
    <n v="473"/>
  </r>
  <r>
    <x v="45"/>
    <x v="3"/>
    <x v="9"/>
    <x v="7"/>
    <s v="Asia"/>
    <n v="942.5"/>
    <n v="20"/>
    <n v="221"/>
    <n v="23308"/>
    <n v="1480.3"/>
  </r>
  <r>
    <x v="46"/>
    <x v="3"/>
    <x v="10"/>
    <x v="0"/>
    <s v="Europe"/>
    <n v="450.8"/>
    <n v="350"/>
    <n v="85"/>
    <n v="28291"/>
    <n v="376.4"/>
  </r>
  <r>
    <x v="46"/>
    <x v="3"/>
    <x v="10"/>
    <x v="1"/>
    <s v="Middle East"/>
    <n v="5087.8"/>
    <n v="209"/>
    <n v="324"/>
    <n v="12955"/>
    <n v="1531.3"/>
  </r>
  <r>
    <x v="46"/>
    <x v="3"/>
    <x v="10"/>
    <x v="2"/>
    <s v="Africa"/>
    <n v="1999.3"/>
    <n v="545"/>
    <n v="255"/>
    <n v="22926"/>
    <n v="1707"/>
  </r>
  <r>
    <x v="46"/>
    <x v="3"/>
    <x v="10"/>
    <x v="3"/>
    <s v="Middle East"/>
    <n v="7990.9"/>
    <n v="149"/>
    <n v="150"/>
    <n v="8262"/>
    <n v="562.6"/>
  </r>
  <r>
    <x v="46"/>
    <x v="3"/>
    <x v="10"/>
    <x v="4"/>
    <s v="Asia"/>
    <n v="4743.1000000000004"/>
    <n v="596"/>
    <n v="495"/>
    <n v="16276"/>
    <n v="1296.0999999999999"/>
  </r>
  <r>
    <x v="46"/>
    <x v="3"/>
    <x v="10"/>
    <x v="5"/>
    <s v="Middle East"/>
    <n v="6907.8"/>
    <n v="561"/>
    <n v="109"/>
    <n v="16327"/>
    <n v="1674"/>
  </r>
  <r>
    <x v="46"/>
    <x v="3"/>
    <x v="10"/>
    <x v="6"/>
    <s v="Asia"/>
    <n v="2565"/>
    <n v="275"/>
    <n v="492"/>
    <n v="29566"/>
    <n v="1816.9"/>
  </r>
  <r>
    <x v="46"/>
    <x v="3"/>
    <x v="10"/>
    <x v="7"/>
    <s v="Asia"/>
    <n v="6427.9"/>
    <n v="176"/>
    <n v="167"/>
    <n v="16871"/>
    <n v="1143.5"/>
  </r>
  <r>
    <x v="47"/>
    <x v="3"/>
    <x v="11"/>
    <x v="0"/>
    <s v="Europe"/>
    <n v="4142.8999999999996"/>
    <n v="389"/>
    <n v="210"/>
    <n v="22726"/>
    <n v="700.4"/>
  </r>
  <r>
    <x v="47"/>
    <x v="3"/>
    <x v="11"/>
    <x v="1"/>
    <s v="Middle East"/>
    <n v="2779.3"/>
    <n v="93"/>
    <n v="102"/>
    <n v="25665"/>
    <n v="920.3"/>
  </r>
  <r>
    <x v="47"/>
    <x v="3"/>
    <x v="11"/>
    <x v="2"/>
    <s v="Africa"/>
    <n v="1977.4"/>
    <n v="460"/>
    <n v="281"/>
    <n v="1613"/>
    <n v="666.9"/>
  </r>
  <r>
    <x v="47"/>
    <x v="3"/>
    <x v="11"/>
    <x v="3"/>
    <s v="Middle East"/>
    <n v="1580.6"/>
    <n v="400"/>
    <n v="144"/>
    <n v="2883"/>
    <n v="157.1"/>
  </r>
  <r>
    <x v="47"/>
    <x v="3"/>
    <x v="11"/>
    <x v="4"/>
    <s v="Asia"/>
    <n v="4737.5"/>
    <n v="32"/>
    <n v="425"/>
    <n v="5506"/>
    <n v="1232.8"/>
  </r>
  <r>
    <x v="47"/>
    <x v="3"/>
    <x v="11"/>
    <x v="5"/>
    <s v="Middle East"/>
    <n v="3668.6"/>
    <n v="276"/>
    <n v="45"/>
    <n v="24279"/>
    <n v="1791.5"/>
  </r>
  <r>
    <x v="47"/>
    <x v="3"/>
    <x v="11"/>
    <x v="6"/>
    <s v="Asia"/>
    <n v="285.89999999999998"/>
    <n v="123"/>
    <n v="452"/>
    <n v="16935"/>
    <n v="342.6"/>
  </r>
  <r>
    <x v="47"/>
    <x v="3"/>
    <x v="11"/>
    <x v="7"/>
    <s v="Asia"/>
    <n v="1781.8"/>
    <n v="402"/>
    <n v="365"/>
    <n v="18383"/>
    <n v="190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4">
  <r>
    <d v="2022-01-01T00:00:00"/>
    <x v="0"/>
    <s v="Jan"/>
    <x v="0"/>
    <x v="0"/>
    <n v="6236.9"/>
    <n v="274"/>
    <x v="0"/>
    <n v="21223"/>
    <n v="233.6"/>
    <n v="704"/>
  </r>
  <r>
    <d v="2022-01-01T00:00:00"/>
    <x v="0"/>
    <s v="Jan"/>
    <x v="1"/>
    <x v="1"/>
    <n v="7809.9"/>
    <n v="461"/>
    <x v="1"/>
    <n v="4715"/>
    <n v="928.3"/>
    <n v="856"/>
  </r>
  <r>
    <d v="2022-01-01T00:00:00"/>
    <x v="0"/>
    <s v="Jan"/>
    <x v="2"/>
    <x v="2"/>
    <n v="3092.2"/>
    <n v="557"/>
    <x v="2"/>
    <n v="24860"/>
    <n v="914.7"/>
    <n v="882"/>
  </r>
  <r>
    <d v="2022-01-01T00:00:00"/>
    <x v="0"/>
    <s v="Jan"/>
    <x v="3"/>
    <x v="1"/>
    <n v="1972.5"/>
    <n v="341"/>
    <x v="3"/>
    <n v="25001"/>
    <n v="1281.7"/>
    <n v="382"/>
  </r>
  <r>
    <d v="2022-01-01T00:00:00"/>
    <x v="0"/>
    <s v="Jan"/>
    <x v="4"/>
    <x v="3"/>
    <n v="6113.1"/>
    <n v="225"/>
    <x v="4"/>
    <n v="26900"/>
    <n v="1567.8"/>
    <n v="710"/>
  </r>
  <r>
    <d v="2022-01-01T00:00:00"/>
    <x v="0"/>
    <s v="Jan"/>
    <x v="5"/>
    <x v="1"/>
    <n v="1718.2"/>
    <n v="290"/>
    <x v="5"/>
    <n v="5474"/>
    <n v="1381.9"/>
    <n v="321"/>
  </r>
  <r>
    <d v="2022-01-01T00:00:00"/>
    <x v="0"/>
    <s v="Jan"/>
    <x v="6"/>
    <x v="3"/>
    <n v="6009.1"/>
    <n v="581"/>
    <x v="6"/>
    <n v="11743"/>
    <n v="965.6"/>
    <n v="750"/>
  </r>
  <r>
    <d v="2022-01-01T00:00:00"/>
    <x v="0"/>
    <s v="Jan"/>
    <x v="7"/>
    <x v="3"/>
    <n v="1677.9"/>
    <n v="95"/>
    <x v="7"/>
    <n v="7580"/>
    <n v="1356.1"/>
    <n v="338"/>
  </r>
  <r>
    <d v="2022-02-01T00:00:00"/>
    <x v="0"/>
    <s v="Feb"/>
    <x v="0"/>
    <x v="0"/>
    <n v="3609.8"/>
    <n v="502"/>
    <x v="8"/>
    <n v="10058"/>
    <n v="1672.9"/>
    <n v="855"/>
  </r>
  <r>
    <d v="2022-02-01T00:00:00"/>
    <x v="0"/>
    <s v="Feb"/>
    <x v="1"/>
    <x v="1"/>
    <n v="6477.2"/>
    <n v="244"/>
    <x v="9"/>
    <n v="20792"/>
    <n v="322.5"/>
    <n v="395"/>
  </r>
  <r>
    <d v="2022-02-01T00:00:00"/>
    <x v="0"/>
    <s v="Feb"/>
    <x v="2"/>
    <x v="2"/>
    <n v="1759.3"/>
    <n v="24"/>
    <x v="1"/>
    <n v="20280"/>
    <n v="1425.1"/>
    <n v="419"/>
  </r>
  <r>
    <d v="2022-02-01T00:00:00"/>
    <x v="0"/>
    <s v="Feb"/>
    <x v="3"/>
    <x v="1"/>
    <n v="6289.7"/>
    <n v="286"/>
    <x v="10"/>
    <n v="5054"/>
    <n v="273.3"/>
    <n v="574"/>
  </r>
  <r>
    <d v="2022-02-01T00:00:00"/>
    <x v="0"/>
    <s v="Feb"/>
    <x v="4"/>
    <x v="3"/>
    <n v="5413.5"/>
    <n v="293"/>
    <x v="11"/>
    <n v="23184"/>
    <n v="1287.7"/>
    <n v="579"/>
  </r>
  <r>
    <d v="2022-02-01T00:00:00"/>
    <x v="0"/>
    <s v="Feb"/>
    <x v="5"/>
    <x v="1"/>
    <n v="4517.8999999999996"/>
    <n v="344"/>
    <x v="12"/>
    <n v="1893"/>
    <n v="901.6"/>
    <n v="502"/>
  </r>
  <r>
    <d v="2022-02-01T00:00:00"/>
    <x v="0"/>
    <s v="Feb"/>
    <x v="6"/>
    <x v="3"/>
    <n v="1873.8"/>
    <n v="256"/>
    <x v="13"/>
    <n v="7784"/>
    <n v="163.69999999999999"/>
    <n v="684"/>
  </r>
  <r>
    <d v="2022-02-01T00:00:00"/>
    <x v="0"/>
    <s v="Feb"/>
    <x v="7"/>
    <x v="3"/>
    <n v="2394.8000000000002"/>
    <n v="190"/>
    <x v="14"/>
    <n v="17153"/>
    <n v="1578.6"/>
    <n v="524"/>
  </r>
  <r>
    <d v="2022-03-01T00:00:00"/>
    <x v="0"/>
    <s v="Mar"/>
    <x v="0"/>
    <x v="0"/>
    <n v="5381.6"/>
    <n v="255"/>
    <x v="15"/>
    <n v="5842"/>
    <n v="94.3"/>
    <n v="663"/>
  </r>
  <r>
    <d v="2022-03-01T00:00:00"/>
    <x v="0"/>
    <s v="Mar"/>
    <x v="1"/>
    <x v="1"/>
    <n v="902.4"/>
    <n v="438"/>
    <x v="16"/>
    <n v="5676"/>
    <n v="1027"/>
    <n v="674"/>
  </r>
  <r>
    <d v="2022-03-01T00:00:00"/>
    <x v="0"/>
    <s v="Mar"/>
    <x v="2"/>
    <x v="2"/>
    <n v="1388"/>
    <n v="423"/>
    <x v="17"/>
    <n v="12049"/>
    <n v="637.9"/>
    <n v="651"/>
  </r>
  <r>
    <d v="2022-03-01T00:00:00"/>
    <x v="0"/>
    <s v="Mar"/>
    <x v="3"/>
    <x v="1"/>
    <n v="5116.2"/>
    <n v="229"/>
    <x v="18"/>
    <n v="4422"/>
    <n v="1925.7"/>
    <n v="281"/>
  </r>
  <r>
    <d v="2022-03-01T00:00:00"/>
    <x v="0"/>
    <s v="Mar"/>
    <x v="4"/>
    <x v="3"/>
    <n v="7286.9"/>
    <n v="425"/>
    <x v="19"/>
    <n v="29106"/>
    <n v="1568.6"/>
    <n v="565"/>
  </r>
  <r>
    <d v="2022-03-01T00:00:00"/>
    <x v="0"/>
    <s v="Mar"/>
    <x v="5"/>
    <x v="1"/>
    <n v="5791.7"/>
    <n v="280"/>
    <x v="20"/>
    <n v="3795"/>
    <n v="1810.1"/>
    <n v="423"/>
  </r>
  <r>
    <d v="2022-03-01T00:00:00"/>
    <x v="0"/>
    <s v="Mar"/>
    <x v="6"/>
    <x v="3"/>
    <n v="3755.1"/>
    <n v="137"/>
    <x v="21"/>
    <n v="17797"/>
    <n v="394.7"/>
    <n v="296"/>
  </r>
  <r>
    <d v="2022-03-01T00:00:00"/>
    <x v="0"/>
    <s v="Mar"/>
    <x v="7"/>
    <x v="3"/>
    <n v="6881.6"/>
    <n v="459"/>
    <x v="22"/>
    <n v="13530"/>
    <n v="1273.3"/>
    <n v="821"/>
  </r>
  <r>
    <d v="2022-04-01T00:00:00"/>
    <x v="0"/>
    <s v="Apr"/>
    <x v="0"/>
    <x v="0"/>
    <n v="4756"/>
    <n v="396"/>
    <x v="23"/>
    <n v="13058"/>
    <n v="131.1"/>
    <n v="447"/>
  </r>
  <r>
    <d v="2022-04-01T00:00:00"/>
    <x v="0"/>
    <s v="Apr"/>
    <x v="1"/>
    <x v="1"/>
    <n v="4053.1"/>
    <n v="211"/>
    <x v="24"/>
    <n v="3998"/>
    <n v="1195.9000000000001"/>
    <n v="291"/>
  </r>
  <r>
    <d v="2022-04-01T00:00:00"/>
    <x v="0"/>
    <s v="Apr"/>
    <x v="2"/>
    <x v="2"/>
    <n v="1530.6"/>
    <n v="556"/>
    <x v="25"/>
    <n v="11059"/>
    <n v="1202.3"/>
    <n v="850"/>
  </r>
  <r>
    <d v="2022-04-01T00:00:00"/>
    <x v="0"/>
    <s v="Apr"/>
    <x v="3"/>
    <x v="1"/>
    <n v="377.9"/>
    <n v="575"/>
    <x v="26"/>
    <n v="23699"/>
    <n v="211.3"/>
    <n v="821"/>
  </r>
  <r>
    <d v="2022-04-01T00:00:00"/>
    <x v="0"/>
    <s v="Apr"/>
    <x v="4"/>
    <x v="3"/>
    <n v="3995.9"/>
    <n v="304"/>
    <x v="27"/>
    <n v="17580"/>
    <n v="973.3"/>
    <n v="773"/>
  </r>
  <r>
    <d v="2022-04-01T00:00:00"/>
    <x v="0"/>
    <s v="Apr"/>
    <x v="5"/>
    <x v="1"/>
    <n v="2282.4"/>
    <n v="212"/>
    <x v="28"/>
    <n v="13728"/>
    <n v="92.1"/>
    <n v="477"/>
  </r>
  <r>
    <d v="2022-04-01T00:00:00"/>
    <x v="0"/>
    <s v="Apr"/>
    <x v="6"/>
    <x v="3"/>
    <n v="6645.1"/>
    <n v="539"/>
    <x v="29"/>
    <n v="17067"/>
    <n v="261.7"/>
    <n v="617"/>
  </r>
  <r>
    <d v="2022-04-01T00:00:00"/>
    <x v="0"/>
    <s v="Apr"/>
    <x v="7"/>
    <x v="3"/>
    <n v="5443.5"/>
    <n v="183"/>
    <x v="30"/>
    <n v="22082"/>
    <n v="1548.9"/>
    <n v="516"/>
  </r>
  <r>
    <d v="2022-05-01T00:00:00"/>
    <x v="0"/>
    <s v="May"/>
    <x v="0"/>
    <x v="0"/>
    <n v="1040.4000000000001"/>
    <n v="551"/>
    <x v="31"/>
    <n v="2084"/>
    <n v="1132"/>
    <n v="673"/>
  </r>
  <r>
    <d v="2022-05-01T00:00:00"/>
    <x v="0"/>
    <s v="May"/>
    <x v="1"/>
    <x v="1"/>
    <n v="3093.2"/>
    <n v="501"/>
    <x v="32"/>
    <n v="10197"/>
    <n v="1908.2"/>
    <n v="907"/>
  </r>
  <r>
    <d v="2022-05-01T00:00:00"/>
    <x v="0"/>
    <s v="May"/>
    <x v="2"/>
    <x v="2"/>
    <n v="2469.1999999999998"/>
    <n v="318"/>
    <x v="33"/>
    <n v="28145"/>
    <n v="371"/>
    <n v="453"/>
  </r>
  <r>
    <d v="2022-05-01T00:00:00"/>
    <x v="0"/>
    <s v="May"/>
    <x v="3"/>
    <x v="1"/>
    <n v="550.29999999999995"/>
    <n v="272"/>
    <x v="34"/>
    <n v="26858"/>
    <n v="1509.8"/>
    <n v="768"/>
  </r>
  <r>
    <d v="2022-05-01T00:00:00"/>
    <x v="0"/>
    <s v="May"/>
    <x v="4"/>
    <x v="3"/>
    <n v="7148.2"/>
    <n v="538"/>
    <x v="35"/>
    <n v="10161"/>
    <n v="1555.4"/>
    <n v="802"/>
  </r>
  <r>
    <d v="2022-05-01T00:00:00"/>
    <x v="0"/>
    <s v="May"/>
    <x v="5"/>
    <x v="1"/>
    <n v="5361"/>
    <n v="236"/>
    <x v="36"/>
    <n v="22656"/>
    <n v="561.79999999999995"/>
    <n v="292"/>
  </r>
  <r>
    <d v="2022-05-01T00:00:00"/>
    <x v="0"/>
    <s v="May"/>
    <x v="6"/>
    <x v="3"/>
    <n v="7507.1"/>
    <n v="159"/>
    <x v="37"/>
    <n v="25102"/>
    <n v="348.9"/>
    <n v="229"/>
  </r>
  <r>
    <d v="2022-05-01T00:00:00"/>
    <x v="0"/>
    <s v="May"/>
    <x v="7"/>
    <x v="3"/>
    <n v="1598.3"/>
    <n v="367"/>
    <x v="38"/>
    <n v="6696"/>
    <n v="655.1"/>
    <n v="805"/>
  </r>
  <r>
    <d v="2022-06-01T00:00:00"/>
    <x v="0"/>
    <s v="Jun"/>
    <x v="0"/>
    <x v="0"/>
    <n v="6263.8"/>
    <n v="583"/>
    <x v="39"/>
    <n v="5173"/>
    <n v="77.2"/>
    <n v="838"/>
  </r>
  <r>
    <d v="2022-06-01T00:00:00"/>
    <x v="0"/>
    <s v="Jun"/>
    <x v="1"/>
    <x v="1"/>
    <n v="1991.3"/>
    <n v="96"/>
    <x v="40"/>
    <n v="4533"/>
    <n v="1037.3"/>
    <n v="438"/>
  </r>
  <r>
    <d v="2022-06-01T00:00:00"/>
    <x v="0"/>
    <s v="Jun"/>
    <x v="2"/>
    <x v="2"/>
    <n v="5615.2"/>
    <n v="357"/>
    <x v="41"/>
    <n v="24319"/>
    <n v="1445"/>
    <n v="464"/>
  </r>
  <r>
    <d v="2022-06-01T00:00:00"/>
    <x v="0"/>
    <s v="Jun"/>
    <x v="3"/>
    <x v="1"/>
    <n v="5964.1"/>
    <n v="96"/>
    <x v="37"/>
    <n v="27899"/>
    <n v="825.3"/>
    <n v="166"/>
  </r>
  <r>
    <d v="2022-06-01T00:00:00"/>
    <x v="0"/>
    <s v="Jun"/>
    <x v="4"/>
    <x v="3"/>
    <n v="2547.4"/>
    <n v="303"/>
    <x v="14"/>
    <n v="28713"/>
    <n v="608.6"/>
    <n v="637"/>
  </r>
  <r>
    <d v="2022-06-01T00:00:00"/>
    <x v="0"/>
    <s v="Jun"/>
    <x v="5"/>
    <x v="1"/>
    <n v="7413.5"/>
    <n v="34"/>
    <x v="42"/>
    <n v="19385"/>
    <n v="256.5"/>
    <n v="316"/>
  </r>
  <r>
    <d v="2022-06-01T00:00:00"/>
    <x v="0"/>
    <s v="Jun"/>
    <x v="6"/>
    <x v="3"/>
    <n v="1294.5999999999999"/>
    <n v="263"/>
    <x v="43"/>
    <n v="18285"/>
    <n v="1869.4"/>
    <n v="746"/>
  </r>
  <r>
    <d v="2022-06-01T00:00:00"/>
    <x v="0"/>
    <s v="Jun"/>
    <x v="7"/>
    <x v="3"/>
    <n v="6474"/>
    <n v="291"/>
    <x v="44"/>
    <n v="1517"/>
    <n v="262.8"/>
    <n v="685"/>
  </r>
  <r>
    <d v="2022-07-01T00:00:00"/>
    <x v="0"/>
    <s v="Jul"/>
    <x v="0"/>
    <x v="0"/>
    <n v="6669.5"/>
    <n v="482"/>
    <x v="45"/>
    <n v="16392"/>
    <n v="1231.7"/>
    <n v="605"/>
  </r>
  <r>
    <d v="2022-07-01T00:00:00"/>
    <x v="0"/>
    <s v="Jul"/>
    <x v="1"/>
    <x v="1"/>
    <n v="6968.4"/>
    <n v="369"/>
    <x v="46"/>
    <n v="11851"/>
    <n v="880.5"/>
    <n v="581"/>
  </r>
  <r>
    <d v="2022-07-01T00:00:00"/>
    <x v="0"/>
    <s v="Jul"/>
    <x v="2"/>
    <x v="2"/>
    <n v="5285.1"/>
    <n v="523"/>
    <x v="47"/>
    <n v="8187"/>
    <n v="511.5"/>
    <n v="755"/>
  </r>
  <r>
    <d v="2022-07-01T00:00:00"/>
    <x v="0"/>
    <s v="Jul"/>
    <x v="3"/>
    <x v="1"/>
    <n v="6018.9"/>
    <n v="493"/>
    <x v="48"/>
    <n v="2930"/>
    <n v="1209.0999999999999"/>
    <n v="554"/>
  </r>
  <r>
    <d v="2022-07-01T00:00:00"/>
    <x v="0"/>
    <s v="Jul"/>
    <x v="4"/>
    <x v="3"/>
    <n v="1340.2"/>
    <n v="498"/>
    <x v="49"/>
    <n v="5172"/>
    <n v="1845.9"/>
    <n v="660"/>
  </r>
  <r>
    <d v="2022-07-01T00:00:00"/>
    <x v="0"/>
    <s v="Jul"/>
    <x v="5"/>
    <x v="1"/>
    <n v="1491.1"/>
    <n v="185"/>
    <x v="50"/>
    <n v="4349"/>
    <n v="91.2"/>
    <n v="270"/>
  </r>
  <r>
    <d v="2022-07-01T00:00:00"/>
    <x v="0"/>
    <s v="Jul"/>
    <x v="6"/>
    <x v="3"/>
    <n v="632.1"/>
    <n v="121"/>
    <x v="51"/>
    <n v="18143"/>
    <n v="1377.4"/>
    <n v="157"/>
  </r>
  <r>
    <d v="2022-07-01T00:00:00"/>
    <x v="0"/>
    <s v="Jul"/>
    <x v="7"/>
    <x v="3"/>
    <n v="3270.3"/>
    <n v="204"/>
    <x v="52"/>
    <n v="26375"/>
    <n v="1709.7"/>
    <n v="461"/>
  </r>
  <r>
    <d v="2022-08-01T00:00:00"/>
    <x v="0"/>
    <s v="Aug"/>
    <x v="0"/>
    <x v="0"/>
    <n v="539.1"/>
    <n v="125"/>
    <x v="53"/>
    <n v="8232"/>
    <n v="1163.9000000000001"/>
    <n v="251"/>
  </r>
  <r>
    <d v="2022-08-01T00:00:00"/>
    <x v="0"/>
    <s v="Aug"/>
    <x v="1"/>
    <x v="1"/>
    <n v="3446.8"/>
    <n v="48"/>
    <x v="54"/>
    <n v="16188"/>
    <n v="248.3"/>
    <n v="241"/>
  </r>
  <r>
    <d v="2022-08-01T00:00:00"/>
    <x v="0"/>
    <s v="Aug"/>
    <x v="2"/>
    <x v="2"/>
    <n v="6701"/>
    <n v="50"/>
    <x v="55"/>
    <n v="3874"/>
    <n v="1695"/>
    <n v="513"/>
  </r>
  <r>
    <d v="2022-08-01T00:00:00"/>
    <x v="0"/>
    <s v="Aug"/>
    <x v="3"/>
    <x v="1"/>
    <n v="7240.7"/>
    <n v="588"/>
    <x v="56"/>
    <n v="23604"/>
    <n v="1302.8"/>
    <n v="990"/>
  </r>
  <r>
    <d v="2022-08-01T00:00:00"/>
    <x v="0"/>
    <s v="Aug"/>
    <x v="4"/>
    <x v="3"/>
    <n v="6276.2"/>
    <n v="98"/>
    <x v="57"/>
    <n v="15912"/>
    <n v="1722.3"/>
    <n v="370"/>
  </r>
  <r>
    <d v="2022-08-01T00:00:00"/>
    <x v="0"/>
    <s v="Aug"/>
    <x v="5"/>
    <x v="1"/>
    <n v="3809.8"/>
    <n v="243"/>
    <x v="58"/>
    <n v="8727"/>
    <n v="322.5"/>
    <n v="566"/>
  </r>
  <r>
    <d v="2022-08-01T00:00:00"/>
    <x v="0"/>
    <s v="Aug"/>
    <x v="6"/>
    <x v="3"/>
    <n v="3927.4"/>
    <n v="261"/>
    <x v="45"/>
    <n v="11657"/>
    <n v="764.5"/>
    <n v="384"/>
  </r>
  <r>
    <d v="2022-08-01T00:00:00"/>
    <x v="0"/>
    <s v="Aug"/>
    <x v="7"/>
    <x v="3"/>
    <n v="2754.5"/>
    <n v="240"/>
    <x v="59"/>
    <n v="9609"/>
    <n v="1900.3"/>
    <n v="586"/>
  </r>
  <r>
    <d v="2022-09-01T00:00:00"/>
    <x v="0"/>
    <s v="Sep"/>
    <x v="0"/>
    <x v="0"/>
    <n v="7347.5"/>
    <n v="298"/>
    <x v="60"/>
    <n v="16527"/>
    <n v="1704.7"/>
    <n v="468"/>
  </r>
  <r>
    <d v="2022-09-01T00:00:00"/>
    <x v="0"/>
    <s v="Sep"/>
    <x v="1"/>
    <x v="1"/>
    <n v="5290.2"/>
    <n v="486"/>
    <x v="61"/>
    <n v="19354"/>
    <n v="611.9"/>
    <n v="757"/>
  </r>
  <r>
    <d v="2022-09-01T00:00:00"/>
    <x v="0"/>
    <s v="Sep"/>
    <x v="2"/>
    <x v="2"/>
    <n v="5932.2"/>
    <n v="137"/>
    <x v="62"/>
    <n v="25960"/>
    <n v="307.60000000000002"/>
    <n v="487"/>
  </r>
  <r>
    <d v="2022-09-01T00:00:00"/>
    <x v="0"/>
    <s v="Sep"/>
    <x v="3"/>
    <x v="1"/>
    <n v="4992.2"/>
    <n v="75"/>
    <x v="63"/>
    <n v="3450"/>
    <n v="1875.1"/>
    <n v="440"/>
  </r>
  <r>
    <d v="2022-09-01T00:00:00"/>
    <x v="0"/>
    <s v="Sep"/>
    <x v="4"/>
    <x v="3"/>
    <n v="1271.8"/>
    <n v="576"/>
    <x v="56"/>
    <n v="18216"/>
    <n v="1576.1"/>
    <n v="978"/>
  </r>
  <r>
    <d v="2022-09-01T00:00:00"/>
    <x v="0"/>
    <s v="Sep"/>
    <x v="5"/>
    <x v="1"/>
    <n v="6401.9"/>
    <n v="568"/>
    <x v="64"/>
    <n v="18112"/>
    <n v="235.3"/>
    <n v="702"/>
  </r>
  <r>
    <d v="2022-09-01T00:00:00"/>
    <x v="0"/>
    <s v="Sep"/>
    <x v="6"/>
    <x v="3"/>
    <n v="5006.1000000000004"/>
    <n v="119"/>
    <x v="11"/>
    <n v="17600"/>
    <n v="958.7"/>
    <n v="405"/>
  </r>
  <r>
    <d v="2022-09-01T00:00:00"/>
    <x v="0"/>
    <s v="Sep"/>
    <x v="7"/>
    <x v="3"/>
    <n v="4276.5"/>
    <n v="463"/>
    <x v="65"/>
    <n v="15272"/>
    <n v="1219.2"/>
    <n v="864"/>
  </r>
  <r>
    <d v="2022-10-01T00:00:00"/>
    <x v="0"/>
    <s v="Oct"/>
    <x v="0"/>
    <x v="0"/>
    <n v="7463.6"/>
    <n v="89"/>
    <x v="66"/>
    <n v="3543"/>
    <n v="1332.8"/>
    <n v="156"/>
  </r>
  <r>
    <d v="2022-10-01T00:00:00"/>
    <x v="0"/>
    <s v="Oct"/>
    <x v="1"/>
    <x v="1"/>
    <n v="3465.1"/>
    <n v="469"/>
    <x v="67"/>
    <n v="10675"/>
    <n v="1801.8"/>
    <n v="807"/>
  </r>
  <r>
    <d v="2022-10-01T00:00:00"/>
    <x v="0"/>
    <s v="Oct"/>
    <x v="2"/>
    <x v="2"/>
    <n v="6147.8"/>
    <n v="176"/>
    <x v="68"/>
    <n v="10118"/>
    <n v="357.3"/>
    <n v="364"/>
  </r>
  <r>
    <d v="2022-10-01T00:00:00"/>
    <x v="0"/>
    <s v="Oct"/>
    <x v="3"/>
    <x v="1"/>
    <n v="1352.7"/>
    <n v="562"/>
    <x v="69"/>
    <n v="12116"/>
    <n v="1472.9"/>
    <n v="786"/>
  </r>
  <r>
    <d v="2022-10-01T00:00:00"/>
    <x v="0"/>
    <s v="Oct"/>
    <x v="4"/>
    <x v="3"/>
    <n v="4513.3"/>
    <n v="562"/>
    <x v="70"/>
    <n v="14901"/>
    <n v="783.9"/>
    <n v="954"/>
  </r>
  <r>
    <d v="2022-10-01T00:00:00"/>
    <x v="0"/>
    <s v="Oct"/>
    <x v="5"/>
    <x v="1"/>
    <n v="7895.7"/>
    <n v="436"/>
    <x v="71"/>
    <n v="4435"/>
    <n v="1708.5"/>
    <n v="912"/>
  </r>
  <r>
    <d v="2022-10-01T00:00:00"/>
    <x v="0"/>
    <s v="Oct"/>
    <x v="6"/>
    <x v="3"/>
    <n v="5169.2"/>
    <n v="90"/>
    <x v="72"/>
    <n v="20896"/>
    <n v="74"/>
    <n v="388"/>
  </r>
  <r>
    <d v="2022-10-01T00:00:00"/>
    <x v="0"/>
    <s v="Oct"/>
    <x v="7"/>
    <x v="3"/>
    <n v="3743.7"/>
    <n v="498"/>
    <x v="73"/>
    <n v="14297"/>
    <n v="912.5"/>
    <n v="652"/>
  </r>
  <r>
    <d v="2022-11-01T00:00:00"/>
    <x v="0"/>
    <s v="Nov"/>
    <x v="0"/>
    <x v="0"/>
    <n v="2555"/>
    <n v="552"/>
    <x v="70"/>
    <n v="4207"/>
    <n v="1994.2"/>
    <n v="944"/>
  </r>
  <r>
    <d v="2022-11-01T00:00:00"/>
    <x v="0"/>
    <s v="Nov"/>
    <x v="1"/>
    <x v="1"/>
    <n v="7057.8"/>
    <n v="184"/>
    <x v="74"/>
    <n v="4086"/>
    <n v="1998.3"/>
    <n v="604"/>
  </r>
  <r>
    <d v="2022-11-01T00:00:00"/>
    <x v="0"/>
    <s v="Nov"/>
    <x v="2"/>
    <x v="2"/>
    <n v="5392.3"/>
    <n v="397"/>
    <x v="75"/>
    <n v="27013"/>
    <n v="106.5"/>
    <n v="451"/>
  </r>
  <r>
    <d v="2022-11-01T00:00:00"/>
    <x v="0"/>
    <s v="Nov"/>
    <x v="3"/>
    <x v="1"/>
    <n v="2078.5"/>
    <n v="102"/>
    <x v="76"/>
    <n v="6747"/>
    <n v="1825.7"/>
    <n v="492"/>
  </r>
  <r>
    <d v="2022-11-01T00:00:00"/>
    <x v="0"/>
    <s v="Nov"/>
    <x v="4"/>
    <x v="3"/>
    <n v="5318.9"/>
    <n v="40"/>
    <x v="77"/>
    <n v="2498"/>
    <n v="1231.5999999999999"/>
    <n v="52"/>
  </r>
  <r>
    <d v="2022-11-01T00:00:00"/>
    <x v="0"/>
    <s v="Nov"/>
    <x v="5"/>
    <x v="1"/>
    <n v="6451.6"/>
    <n v="158"/>
    <x v="78"/>
    <n v="2659"/>
    <n v="1611.9"/>
    <n v="584"/>
  </r>
  <r>
    <d v="2022-11-01T00:00:00"/>
    <x v="0"/>
    <s v="Nov"/>
    <x v="6"/>
    <x v="3"/>
    <n v="7436.8"/>
    <n v="467"/>
    <x v="79"/>
    <n v="25301"/>
    <n v="128.30000000000001"/>
    <n v="819"/>
  </r>
  <r>
    <d v="2022-11-01T00:00:00"/>
    <x v="0"/>
    <s v="Nov"/>
    <x v="7"/>
    <x v="3"/>
    <n v="1773.9"/>
    <n v="92"/>
    <x v="52"/>
    <n v="22610"/>
    <n v="1278.5"/>
    <n v="349"/>
  </r>
  <r>
    <d v="2022-12-01T00:00:00"/>
    <x v="0"/>
    <s v="Dec"/>
    <x v="0"/>
    <x v="0"/>
    <n v="6838.8"/>
    <n v="110"/>
    <x v="80"/>
    <n v="6598"/>
    <n v="578"/>
    <n v="479"/>
  </r>
  <r>
    <d v="2022-12-01T00:00:00"/>
    <x v="0"/>
    <s v="Dec"/>
    <x v="1"/>
    <x v="1"/>
    <n v="5737.3"/>
    <n v="588"/>
    <x v="81"/>
    <n v="2580"/>
    <n v="1251.8"/>
    <n v="897"/>
  </r>
  <r>
    <d v="2022-12-01T00:00:00"/>
    <x v="0"/>
    <s v="Dec"/>
    <x v="2"/>
    <x v="2"/>
    <n v="530.29999999999995"/>
    <n v="532"/>
    <x v="82"/>
    <n v="6020"/>
    <n v="228.9"/>
    <n v="889"/>
  </r>
  <r>
    <d v="2022-12-01T00:00:00"/>
    <x v="0"/>
    <s v="Dec"/>
    <x v="3"/>
    <x v="1"/>
    <n v="1631.6"/>
    <n v="588"/>
    <x v="83"/>
    <n v="23738"/>
    <n v="1291"/>
    <n v="822"/>
  </r>
  <r>
    <d v="2022-12-01T00:00:00"/>
    <x v="0"/>
    <s v="Dec"/>
    <x v="4"/>
    <x v="3"/>
    <n v="4664.8"/>
    <n v="104"/>
    <x v="84"/>
    <n v="9738"/>
    <n v="1177.0999999999999"/>
    <n v="577"/>
  </r>
  <r>
    <d v="2022-12-01T00:00:00"/>
    <x v="0"/>
    <s v="Dec"/>
    <x v="5"/>
    <x v="1"/>
    <n v="5658.3"/>
    <n v="396"/>
    <x v="85"/>
    <n v="5304"/>
    <n v="1041.3"/>
    <n v="866"/>
  </r>
  <r>
    <d v="2022-12-01T00:00:00"/>
    <x v="0"/>
    <s v="Dec"/>
    <x v="6"/>
    <x v="3"/>
    <n v="3351.5"/>
    <n v="295"/>
    <x v="86"/>
    <n v="4888"/>
    <n v="592.20000000000005"/>
    <n v="363"/>
  </r>
  <r>
    <d v="2022-12-01T00:00:00"/>
    <x v="0"/>
    <s v="Dec"/>
    <x v="7"/>
    <x v="3"/>
    <n v="2576.6999999999998"/>
    <n v="268"/>
    <x v="81"/>
    <n v="19404"/>
    <n v="853"/>
    <n v="577"/>
  </r>
  <r>
    <d v="2023-01-01T00:00:00"/>
    <x v="1"/>
    <s v="Jan"/>
    <x v="0"/>
    <x v="0"/>
    <n v="3388.5"/>
    <n v="146"/>
    <x v="72"/>
    <n v="10194"/>
    <n v="120.3"/>
    <n v="444"/>
  </r>
  <r>
    <d v="2023-01-01T00:00:00"/>
    <x v="1"/>
    <s v="Jan"/>
    <x v="1"/>
    <x v="1"/>
    <n v="3463.5"/>
    <n v="294"/>
    <x v="87"/>
    <n v="17601"/>
    <n v="1153.3"/>
    <n v="414"/>
  </r>
  <r>
    <d v="2023-01-01T00:00:00"/>
    <x v="1"/>
    <s v="Jan"/>
    <x v="2"/>
    <x v="2"/>
    <n v="5675.6"/>
    <n v="395"/>
    <x v="88"/>
    <n v="10170"/>
    <n v="1585.5"/>
    <n v="724"/>
  </r>
  <r>
    <d v="2023-01-01T00:00:00"/>
    <x v="1"/>
    <s v="Jan"/>
    <x v="3"/>
    <x v="1"/>
    <n v="4483.3"/>
    <n v="270"/>
    <x v="89"/>
    <n v="11459"/>
    <n v="1049.8"/>
    <n v="586"/>
  </r>
  <r>
    <d v="2023-01-01T00:00:00"/>
    <x v="1"/>
    <s v="Jan"/>
    <x v="4"/>
    <x v="3"/>
    <n v="5946.3"/>
    <n v="534"/>
    <x v="90"/>
    <n v="15605"/>
    <n v="1064.5"/>
    <n v="995"/>
  </r>
  <r>
    <d v="2023-01-01T00:00:00"/>
    <x v="1"/>
    <s v="Jan"/>
    <x v="5"/>
    <x v="1"/>
    <n v="6439"/>
    <n v="202"/>
    <x v="74"/>
    <n v="15330"/>
    <n v="275.89999999999998"/>
    <n v="622"/>
  </r>
  <r>
    <d v="2023-01-01T00:00:00"/>
    <x v="1"/>
    <s v="Jan"/>
    <x v="6"/>
    <x v="3"/>
    <n v="762.1"/>
    <n v="508"/>
    <x v="91"/>
    <n v="9137"/>
    <n v="701.6"/>
    <n v="545"/>
  </r>
  <r>
    <d v="2023-01-01T00:00:00"/>
    <x v="1"/>
    <s v="Jan"/>
    <x v="7"/>
    <x v="3"/>
    <n v="1549.4"/>
    <n v="202"/>
    <x v="92"/>
    <n v="1425"/>
    <n v="1663"/>
    <n v="575"/>
  </r>
  <r>
    <d v="2023-02-01T00:00:00"/>
    <x v="1"/>
    <s v="Feb"/>
    <x v="0"/>
    <x v="0"/>
    <n v="6881.1"/>
    <n v="235"/>
    <x v="50"/>
    <n v="18424"/>
    <n v="283.39999999999998"/>
    <n v="320"/>
  </r>
  <r>
    <d v="2023-02-01T00:00:00"/>
    <x v="1"/>
    <s v="Feb"/>
    <x v="1"/>
    <x v="1"/>
    <n v="3046.4"/>
    <n v="575"/>
    <x v="93"/>
    <n v="23391"/>
    <n v="656.4"/>
    <n v="1072"/>
  </r>
  <r>
    <d v="2023-02-01T00:00:00"/>
    <x v="1"/>
    <s v="Feb"/>
    <x v="2"/>
    <x v="2"/>
    <n v="5563.8"/>
    <n v="429"/>
    <x v="94"/>
    <n v="19585"/>
    <n v="70.900000000000006"/>
    <n v="629"/>
  </r>
  <r>
    <d v="2023-02-01T00:00:00"/>
    <x v="1"/>
    <s v="Feb"/>
    <x v="3"/>
    <x v="1"/>
    <n v="1830.6"/>
    <n v="324"/>
    <x v="95"/>
    <n v="5811"/>
    <n v="1680.8"/>
    <n v="414"/>
  </r>
  <r>
    <d v="2023-02-01T00:00:00"/>
    <x v="1"/>
    <s v="Feb"/>
    <x v="4"/>
    <x v="3"/>
    <n v="7915.2"/>
    <n v="342"/>
    <x v="96"/>
    <n v="29719"/>
    <n v="326.10000000000002"/>
    <n v="763"/>
  </r>
  <r>
    <d v="2023-02-01T00:00:00"/>
    <x v="1"/>
    <s v="Feb"/>
    <x v="5"/>
    <x v="1"/>
    <n v="3696.3"/>
    <n v="247"/>
    <x v="97"/>
    <n v="22904"/>
    <n v="895.9"/>
    <n v="296"/>
  </r>
  <r>
    <d v="2023-02-01T00:00:00"/>
    <x v="1"/>
    <s v="Feb"/>
    <x v="6"/>
    <x v="3"/>
    <n v="3860.8"/>
    <n v="107"/>
    <x v="98"/>
    <n v="27306"/>
    <n v="137.1"/>
    <n v="205"/>
  </r>
  <r>
    <d v="2023-02-01T00:00:00"/>
    <x v="1"/>
    <s v="Feb"/>
    <x v="7"/>
    <x v="3"/>
    <n v="2016.2"/>
    <n v="189"/>
    <x v="99"/>
    <n v="18006"/>
    <n v="1011.9"/>
    <n v="439"/>
  </r>
  <r>
    <d v="2023-03-01T00:00:00"/>
    <x v="1"/>
    <s v="Mar"/>
    <x v="0"/>
    <x v="0"/>
    <n v="856.1"/>
    <n v="161"/>
    <x v="100"/>
    <n v="19490"/>
    <n v="1315.8"/>
    <n v="584"/>
  </r>
  <r>
    <d v="2023-03-01T00:00:00"/>
    <x v="1"/>
    <s v="Mar"/>
    <x v="1"/>
    <x v="1"/>
    <n v="5427.6"/>
    <n v="462"/>
    <x v="101"/>
    <n v="11631"/>
    <n v="1102.0999999999999"/>
    <n v="500"/>
  </r>
  <r>
    <d v="2023-03-01T00:00:00"/>
    <x v="1"/>
    <s v="Mar"/>
    <x v="2"/>
    <x v="2"/>
    <n v="2840"/>
    <n v="509"/>
    <x v="26"/>
    <n v="23290"/>
    <n v="1711.4"/>
    <n v="755"/>
  </r>
  <r>
    <d v="2023-03-01T00:00:00"/>
    <x v="1"/>
    <s v="Mar"/>
    <x v="3"/>
    <x v="1"/>
    <n v="4137.3999999999996"/>
    <n v="547"/>
    <x v="102"/>
    <n v="25657"/>
    <n v="714.2"/>
    <n v="844"/>
  </r>
  <r>
    <d v="2023-03-01T00:00:00"/>
    <x v="1"/>
    <s v="Mar"/>
    <x v="4"/>
    <x v="3"/>
    <n v="4090.8"/>
    <n v="328"/>
    <x v="48"/>
    <n v="12558"/>
    <n v="1838.8"/>
    <n v="389"/>
  </r>
  <r>
    <d v="2023-03-01T00:00:00"/>
    <x v="1"/>
    <s v="Mar"/>
    <x v="5"/>
    <x v="1"/>
    <n v="5120.5"/>
    <n v="122"/>
    <x v="103"/>
    <n v="6556"/>
    <n v="98.4"/>
    <n v="298"/>
  </r>
  <r>
    <d v="2023-03-01T00:00:00"/>
    <x v="1"/>
    <s v="Mar"/>
    <x v="6"/>
    <x v="3"/>
    <n v="7434.2"/>
    <n v="279"/>
    <x v="104"/>
    <n v="18355"/>
    <n v="64.3"/>
    <n v="439"/>
  </r>
  <r>
    <d v="2023-03-01T00:00:00"/>
    <x v="1"/>
    <s v="Mar"/>
    <x v="7"/>
    <x v="3"/>
    <n v="2368.6"/>
    <n v="427"/>
    <x v="105"/>
    <n v="29472"/>
    <n v="1259.7"/>
    <n v="747"/>
  </r>
  <r>
    <d v="2023-04-01T00:00:00"/>
    <x v="1"/>
    <s v="Apr"/>
    <x v="0"/>
    <x v="0"/>
    <n v="3924.5"/>
    <n v="461"/>
    <x v="106"/>
    <n v="21900"/>
    <n v="1928.3"/>
    <n v="913"/>
  </r>
  <r>
    <d v="2023-04-01T00:00:00"/>
    <x v="1"/>
    <s v="Apr"/>
    <x v="1"/>
    <x v="1"/>
    <n v="6299.6"/>
    <n v="522"/>
    <x v="107"/>
    <n v="22239"/>
    <n v="908.2"/>
    <n v="587"/>
  </r>
  <r>
    <d v="2023-04-01T00:00:00"/>
    <x v="1"/>
    <s v="Apr"/>
    <x v="2"/>
    <x v="2"/>
    <n v="4514.2"/>
    <n v="399"/>
    <x v="4"/>
    <n v="29552"/>
    <n v="612"/>
    <n v="884"/>
  </r>
  <r>
    <d v="2023-04-01T00:00:00"/>
    <x v="1"/>
    <s v="Apr"/>
    <x v="3"/>
    <x v="1"/>
    <n v="5923.3"/>
    <n v="454"/>
    <x v="108"/>
    <n v="4592"/>
    <n v="129.80000000000001"/>
    <n v="633"/>
  </r>
  <r>
    <d v="2023-04-01T00:00:00"/>
    <x v="1"/>
    <s v="Apr"/>
    <x v="4"/>
    <x v="3"/>
    <n v="6263.3"/>
    <n v="304"/>
    <x v="109"/>
    <n v="14484"/>
    <n v="1956.9"/>
    <n v="796"/>
  </r>
  <r>
    <d v="2023-04-01T00:00:00"/>
    <x v="1"/>
    <s v="Apr"/>
    <x v="5"/>
    <x v="1"/>
    <n v="3410.3"/>
    <n v="480"/>
    <x v="23"/>
    <n v="17108"/>
    <n v="1614"/>
    <n v="531"/>
  </r>
  <r>
    <d v="2023-04-01T00:00:00"/>
    <x v="1"/>
    <s v="Apr"/>
    <x v="6"/>
    <x v="3"/>
    <n v="7412.7"/>
    <n v="497"/>
    <x v="110"/>
    <n v="11808"/>
    <n v="145"/>
    <n v="525"/>
  </r>
  <r>
    <d v="2023-04-01T00:00:00"/>
    <x v="1"/>
    <s v="Apr"/>
    <x v="7"/>
    <x v="3"/>
    <n v="1052.4000000000001"/>
    <n v="411"/>
    <x v="111"/>
    <n v="23437"/>
    <n v="1737.6"/>
    <n v="770"/>
  </r>
  <r>
    <d v="2023-05-01T00:00:00"/>
    <x v="1"/>
    <s v="May"/>
    <x v="0"/>
    <x v="0"/>
    <n v="5967.6"/>
    <n v="484"/>
    <x v="112"/>
    <n v="7801"/>
    <n v="1262.7"/>
    <n v="517"/>
  </r>
  <r>
    <d v="2023-05-01T00:00:00"/>
    <x v="1"/>
    <s v="May"/>
    <x v="1"/>
    <x v="1"/>
    <n v="6893.4"/>
    <n v="22"/>
    <x v="113"/>
    <n v="20641"/>
    <n v="107.7"/>
    <n v="284"/>
  </r>
  <r>
    <d v="2023-05-01T00:00:00"/>
    <x v="1"/>
    <s v="May"/>
    <x v="2"/>
    <x v="2"/>
    <n v="3330.6"/>
    <n v="539"/>
    <x v="114"/>
    <n v="7892"/>
    <n v="1712.9"/>
    <n v="878"/>
  </r>
  <r>
    <d v="2023-05-01T00:00:00"/>
    <x v="1"/>
    <s v="May"/>
    <x v="3"/>
    <x v="1"/>
    <n v="2914.6"/>
    <n v="514"/>
    <x v="115"/>
    <n v="18119"/>
    <n v="824"/>
    <n v="670"/>
  </r>
  <r>
    <d v="2023-05-01T00:00:00"/>
    <x v="1"/>
    <s v="May"/>
    <x v="4"/>
    <x v="3"/>
    <n v="2343.6"/>
    <n v="534"/>
    <x v="116"/>
    <n v="3459"/>
    <n v="716.8"/>
    <n v="635"/>
  </r>
  <r>
    <d v="2023-05-01T00:00:00"/>
    <x v="1"/>
    <s v="May"/>
    <x v="5"/>
    <x v="1"/>
    <n v="5797.6"/>
    <n v="488"/>
    <x v="117"/>
    <n v="9594"/>
    <n v="845.5"/>
    <n v="987"/>
  </r>
  <r>
    <d v="2023-05-01T00:00:00"/>
    <x v="1"/>
    <s v="May"/>
    <x v="6"/>
    <x v="3"/>
    <n v="1267.2"/>
    <n v="353"/>
    <x v="118"/>
    <n v="21325"/>
    <n v="1210.7"/>
    <n v="851"/>
  </r>
  <r>
    <d v="2023-05-01T00:00:00"/>
    <x v="1"/>
    <s v="May"/>
    <x v="7"/>
    <x v="3"/>
    <n v="3260.5"/>
    <n v="550"/>
    <x v="119"/>
    <n v="4896"/>
    <n v="762.5"/>
    <n v="803"/>
  </r>
  <r>
    <d v="2023-06-01T00:00:00"/>
    <x v="1"/>
    <s v="Jun"/>
    <x v="0"/>
    <x v="0"/>
    <n v="723.9"/>
    <n v="137"/>
    <x v="120"/>
    <n v="14145"/>
    <n v="1287.4000000000001"/>
    <n v="155"/>
  </r>
  <r>
    <d v="2023-06-01T00:00:00"/>
    <x v="1"/>
    <s v="Jun"/>
    <x v="1"/>
    <x v="1"/>
    <n v="2877.7"/>
    <n v="263"/>
    <x v="121"/>
    <n v="22806"/>
    <n v="1104.7"/>
    <n v="743"/>
  </r>
  <r>
    <d v="2023-06-01T00:00:00"/>
    <x v="1"/>
    <s v="Jun"/>
    <x v="2"/>
    <x v="2"/>
    <n v="2419.4"/>
    <n v="540"/>
    <x v="122"/>
    <n v="10434"/>
    <n v="1822.7"/>
    <n v="665"/>
  </r>
  <r>
    <d v="2023-06-01T00:00:00"/>
    <x v="1"/>
    <s v="Jun"/>
    <x v="3"/>
    <x v="1"/>
    <n v="4330.3999999999996"/>
    <n v="450"/>
    <x v="123"/>
    <n v="19949"/>
    <n v="633.79999999999995"/>
    <n v="749"/>
  </r>
  <r>
    <d v="2023-06-01T00:00:00"/>
    <x v="1"/>
    <s v="Jun"/>
    <x v="4"/>
    <x v="3"/>
    <n v="2082.6999999999998"/>
    <n v="207"/>
    <x v="124"/>
    <n v="26355"/>
    <n v="602.29999999999995"/>
    <n v="293"/>
  </r>
  <r>
    <d v="2023-06-01T00:00:00"/>
    <x v="1"/>
    <s v="Jun"/>
    <x v="5"/>
    <x v="1"/>
    <n v="4579.6000000000004"/>
    <n v="479"/>
    <x v="44"/>
    <n v="13713"/>
    <n v="978.7"/>
    <n v="873"/>
  </r>
  <r>
    <d v="2023-06-01T00:00:00"/>
    <x v="1"/>
    <s v="Jun"/>
    <x v="6"/>
    <x v="3"/>
    <n v="7958.7"/>
    <n v="411"/>
    <x v="125"/>
    <n v="27174"/>
    <n v="1585.8"/>
    <n v="820"/>
  </r>
  <r>
    <d v="2023-06-01T00:00:00"/>
    <x v="1"/>
    <s v="Jun"/>
    <x v="7"/>
    <x v="3"/>
    <n v="1644.4"/>
    <n v="346"/>
    <x v="126"/>
    <n v="19934"/>
    <n v="1912.9"/>
    <n v="405"/>
  </r>
  <r>
    <d v="2023-07-01T00:00:00"/>
    <x v="1"/>
    <s v="Jul"/>
    <x v="0"/>
    <x v="0"/>
    <n v="4199.3"/>
    <n v="271"/>
    <x v="127"/>
    <n v="28833"/>
    <n v="250.9"/>
    <n v="298"/>
  </r>
  <r>
    <d v="2023-07-01T00:00:00"/>
    <x v="1"/>
    <s v="Jul"/>
    <x v="1"/>
    <x v="1"/>
    <n v="520.4"/>
    <n v="162"/>
    <x v="128"/>
    <n v="14198"/>
    <n v="1056.4000000000001"/>
    <n v="204"/>
  </r>
  <r>
    <d v="2023-07-01T00:00:00"/>
    <x v="1"/>
    <s v="Jul"/>
    <x v="2"/>
    <x v="2"/>
    <n v="2638"/>
    <n v="49"/>
    <x v="129"/>
    <n v="12150"/>
    <n v="168"/>
    <n v="113"/>
  </r>
  <r>
    <d v="2023-07-01T00:00:00"/>
    <x v="1"/>
    <s v="Jul"/>
    <x v="3"/>
    <x v="1"/>
    <n v="5645.9"/>
    <n v="140"/>
    <x v="12"/>
    <n v="12429"/>
    <n v="862.4"/>
    <n v="298"/>
  </r>
  <r>
    <d v="2023-07-01T00:00:00"/>
    <x v="1"/>
    <s v="Jul"/>
    <x v="4"/>
    <x v="3"/>
    <n v="213"/>
    <n v="85"/>
    <x v="130"/>
    <n v="1035"/>
    <n v="1040.9000000000001"/>
    <n v="517"/>
  </r>
  <r>
    <d v="2023-07-01T00:00:00"/>
    <x v="1"/>
    <s v="Jul"/>
    <x v="5"/>
    <x v="1"/>
    <n v="4018.1"/>
    <n v="213"/>
    <x v="131"/>
    <n v="23636"/>
    <n v="1690.3"/>
    <n v="434"/>
  </r>
  <r>
    <d v="2023-07-01T00:00:00"/>
    <x v="1"/>
    <s v="Jul"/>
    <x v="6"/>
    <x v="3"/>
    <n v="2230.6999999999998"/>
    <n v="207"/>
    <x v="132"/>
    <n v="14916"/>
    <n v="1382.4"/>
    <n v="335"/>
  </r>
  <r>
    <d v="2023-07-01T00:00:00"/>
    <x v="1"/>
    <s v="Jul"/>
    <x v="7"/>
    <x v="3"/>
    <n v="1980.4"/>
    <n v="211"/>
    <x v="133"/>
    <n v="2408"/>
    <n v="948.5"/>
    <n v="676"/>
  </r>
  <r>
    <d v="2023-08-01T00:00:00"/>
    <x v="1"/>
    <s v="Aug"/>
    <x v="0"/>
    <x v="0"/>
    <n v="5750.2"/>
    <n v="107"/>
    <x v="112"/>
    <n v="5007"/>
    <n v="1841.7"/>
    <n v="140"/>
  </r>
  <r>
    <d v="2023-08-01T00:00:00"/>
    <x v="1"/>
    <s v="Aug"/>
    <x v="1"/>
    <x v="1"/>
    <n v="272.2"/>
    <n v="129"/>
    <x v="134"/>
    <n v="4208"/>
    <n v="1259.3"/>
    <n v="154"/>
  </r>
  <r>
    <d v="2023-08-01T00:00:00"/>
    <x v="1"/>
    <s v="Aug"/>
    <x v="2"/>
    <x v="2"/>
    <n v="2084.8000000000002"/>
    <n v="350"/>
    <x v="123"/>
    <n v="25633"/>
    <n v="59.2"/>
    <n v="649"/>
  </r>
  <r>
    <d v="2023-08-01T00:00:00"/>
    <x v="1"/>
    <s v="Aug"/>
    <x v="3"/>
    <x v="1"/>
    <n v="6856.3"/>
    <n v="379"/>
    <x v="135"/>
    <n v="23415"/>
    <n v="1718.2"/>
    <n v="468"/>
  </r>
  <r>
    <d v="2023-08-01T00:00:00"/>
    <x v="1"/>
    <s v="Aug"/>
    <x v="4"/>
    <x v="3"/>
    <n v="2183.3000000000002"/>
    <n v="552"/>
    <x v="47"/>
    <n v="18499"/>
    <n v="1970.1"/>
    <n v="784"/>
  </r>
  <r>
    <d v="2023-08-01T00:00:00"/>
    <x v="1"/>
    <s v="Aug"/>
    <x v="5"/>
    <x v="1"/>
    <n v="3020"/>
    <n v="491"/>
    <x v="136"/>
    <n v="24177"/>
    <n v="1221.4000000000001"/>
    <n v="657"/>
  </r>
  <r>
    <d v="2023-08-01T00:00:00"/>
    <x v="1"/>
    <s v="Aug"/>
    <x v="6"/>
    <x v="3"/>
    <n v="1887.6"/>
    <n v="260"/>
    <x v="137"/>
    <n v="3265"/>
    <n v="108.2"/>
    <n v="425"/>
  </r>
  <r>
    <d v="2023-08-01T00:00:00"/>
    <x v="1"/>
    <s v="Aug"/>
    <x v="7"/>
    <x v="3"/>
    <n v="2902.5"/>
    <n v="31"/>
    <x v="138"/>
    <n v="22030"/>
    <n v="1430.8"/>
    <n v="122"/>
  </r>
  <r>
    <d v="2023-09-01T00:00:00"/>
    <x v="1"/>
    <s v="Sep"/>
    <x v="0"/>
    <x v="0"/>
    <n v="5960.9"/>
    <n v="203"/>
    <x v="139"/>
    <n v="18221"/>
    <n v="295.8"/>
    <n v="649"/>
  </r>
  <r>
    <d v="2023-09-01T00:00:00"/>
    <x v="1"/>
    <s v="Sep"/>
    <x v="1"/>
    <x v="1"/>
    <n v="1321"/>
    <n v="421"/>
    <x v="140"/>
    <n v="15711"/>
    <n v="1984"/>
    <n v="515"/>
  </r>
  <r>
    <d v="2023-09-01T00:00:00"/>
    <x v="1"/>
    <s v="Sep"/>
    <x v="2"/>
    <x v="2"/>
    <n v="231.3"/>
    <n v="29"/>
    <x v="34"/>
    <n v="17954"/>
    <n v="297.5"/>
    <n v="525"/>
  </r>
  <r>
    <d v="2023-09-01T00:00:00"/>
    <x v="1"/>
    <s v="Sep"/>
    <x v="3"/>
    <x v="1"/>
    <n v="7199"/>
    <n v="530"/>
    <x v="57"/>
    <n v="19031"/>
    <n v="582.70000000000005"/>
    <n v="802"/>
  </r>
  <r>
    <d v="2023-09-01T00:00:00"/>
    <x v="1"/>
    <s v="Sep"/>
    <x v="4"/>
    <x v="3"/>
    <n v="594.1"/>
    <n v="364"/>
    <x v="73"/>
    <n v="20245"/>
    <n v="1680.7"/>
    <n v="518"/>
  </r>
  <r>
    <d v="2023-09-01T00:00:00"/>
    <x v="1"/>
    <s v="Sep"/>
    <x v="5"/>
    <x v="1"/>
    <n v="341.7"/>
    <n v="365"/>
    <x v="45"/>
    <n v="26342"/>
    <n v="544.6"/>
    <n v="488"/>
  </r>
  <r>
    <d v="2023-09-01T00:00:00"/>
    <x v="1"/>
    <s v="Sep"/>
    <x v="6"/>
    <x v="3"/>
    <n v="4964"/>
    <n v="341"/>
    <x v="141"/>
    <n v="20651"/>
    <n v="1465.3"/>
    <n v="545"/>
  </r>
  <r>
    <d v="2023-09-01T00:00:00"/>
    <x v="1"/>
    <s v="Sep"/>
    <x v="7"/>
    <x v="3"/>
    <n v="4622.1000000000004"/>
    <n v="459"/>
    <x v="142"/>
    <n v="13158"/>
    <n v="1053.4000000000001"/>
    <n v="950"/>
  </r>
  <r>
    <d v="2023-10-01T00:00:00"/>
    <x v="1"/>
    <s v="Oct"/>
    <x v="0"/>
    <x v="0"/>
    <n v="297.3"/>
    <n v="481"/>
    <x v="35"/>
    <n v="12830"/>
    <n v="233.4"/>
    <n v="745"/>
  </r>
  <r>
    <d v="2023-10-01T00:00:00"/>
    <x v="1"/>
    <s v="Oct"/>
    <x v="1"/>
    <x v="1"/>
    <n v="7139.3"/>
    <n v="249"/>
    <x v="143"/>
    <n v="5331"/>
    <n v="1925"/>
    <n v="593"/>
  </r>
  <r>
    <d v="2023-10-01T00:00:00"/>
    <x v="1"/>
    <s v="Oct"/>
    <x v="2"/>
    <x v="2"/>
    <n v="1591.8"/>
    <n v="135"/>
    <x v="0"/>
    <n v="27464"/>
    <n v="463.7"/>
    <n v="565"/>
  </r>
  <r>
    <d v="2023-10-01T00:00:00"/>
    <x v="1"/>
    <s v="Oct"/>
    <x v="3"/>
    <x v="1"/>
    <n v="3864.4"/>
    <n v="445"/>
    <x v="144"/>
    <n v="11992"/>
    <n v="1058.2"/>
    <n v="885"/>
  </r>
  <r>
    <d v="2023-10-01T00:00:00"/>
    <x v="1"/>
    <s v="Oct"/>
    <x v="4"/>
    <x v="3"/>
    <n v="5985.4"/>
    <n v="444"/>
    <x v="145"/>
    <n v="17528"/>
    <n v="254"/>
    <n v="837"/>
  </r>
  <r>
    <d v="2023-10-01T00:00:00"/>
    <x v="1"/>
    <s v="Oct"/>
    <x v="5"/>
    <x v="1"/>
    <n v="7251"/>
    <n v="522"/>
    <x v="65"/>
    <n v="3896"/>
    <n v="448.6"/>
    <n v="923"/>
  </r>
  <r>
    <d v="2023-10-01T00:00:00"/>
    <x v="1"/>
    <s v="Oct"/>
    <x v="6"/>
    <x v="3"/>
    <n v="6000.1"/>
    <n v="33"/>
    <x v="146"/>
    <n v="11937"/>
    <n v="1452.7"/>
    <n v="522"/>
  </r>
  <r>
    <d v="2023-10-01T00:00:00"/>
    <x v="1"/>
    <s v="Oct"/>
    <x v="7"/>
    <x v="3"/>
    <n v="7123.1"/>
    <n v="248"/>
    <x v="136"/>
    <n v="18653"/>
    <n v="1182.9000000000001"/>
    <n v="414"/>
  </r>
  <r>
    <d v="2023-11-01T00:00:00"/>
    <x v="1"/>
    <s v="Nov"/>
    <x v="0"/>
    <x v="0"/>
    <n v="3391.3"/>
    <n v="369"/>
    <x v="147"/>
    <n v="14561"/>
    <n v="433.6"/>
    <n v="837"/>
  </r>
  <r>
    <d v="2023-11-01T00:00:00"/>
    <x v="1"/>
    <s v="Nov"/>
    <x v="1"/>
    <x v="1"/>
    <n v="3142.2"/>
    <n v="248"/>
    <x v="148"/>
    <n v="5723"/>
    <n v="1384.9"/>
    <n v="322"/>
  </r>
  <r>
    <d v="2023-11-01T00:00:00"/>
    <x v="1"/>
    <s v="Nov"/>
    <x v="2"/>
    <x v="2"/>
    <n v="2847.9"/>
    <n v="573"/>
    <x v="149"/>
    <n v="3868"/>
    <n v="1519.3"/>
    <n v="702"/>
  </r>
  <r>
    <d v="2023-11-01T00:00:00"/>
    <x v="1"/>
    <s v="Nov"/>
    <x v="3"/>
    <x v="1"/>
    <n v="7072.1"/>
    <n v="181"/>
    <x v="150"/>
    <n v="6387"/>
    <n v="1067.9000000000001"/>
    <n v="290"/>
  </r>
  <r>
    <d v="2023-11-01T00:00:00"/>
    <x v="1"/>
    <s v="Nov"/>
    <x v="4"/>
    <x v="3"/>
    <n v="3853.6"/>
    <n v="170"/>
    <x v="151"/>
    <n v="14963"/>
    <n v="1920.7"/>
    <n v="202"/>
  </r>
  <r>
    <d v="2023-11-01T00:00:00"/>
    <x v="1"/>
    <s v="Nov"/>
    <x v="5"/>
    <x v="1"/>
    <n v="5289.6"/>
    <n v="307"/>
    <x v="129"/>
    <n v="8320"/>
    <n v="624.79999999999995"/>
    <n v="371"/>
  </r>
  <r>
    <d v="2023-11-01T00:00:00"/>
    <x v="1"/>
    <s v="Nov"/>
    <x v="6"/>
    <x v="3"/>
    <n v="6165.5"/>
    <n v="528"/>
    <x v="152"/>
    <n v="29552"/>
    <n v="1965.6"/>
    <n v="979"/>
  </r>
  <r>
    <d v="2023-11-01T00:00:00"/>
    <x v="1"/>
    <s v="Nov"/>
    <x v="7"/>
    <x v="3"/>
    <n v="7633.4"/>
    <n v="61"/>
    <x v="153"/>
    <n v="9829"/>
    <n v="1128.2"/>
    <n v="138"/>
  </r>
  <r>
    <d v="2023-12-01T00:00:00"/>
    <x v="1"/>
    <s v="Dec"/>
    <x v="0"/>
    <x v="0"/>
    <n v="956.4"/>
    <n v="510"/>
    <x v="154"/>
    <n v="16728"/>
    <n v="372.4"/>
    <n v="822"/>
  </r>
  <r>
    <d v="2023-12-01T00:00:00"/>
    <x v="1"/>
    <s v="Dec"/>
    <x v="1"/>
    <x v="1"/>
    <n v="2175.4"/>
    <n v="112"/>
    <x v="155"/>
    <n v="17942"/>
    <n v="1483.5"/>
    <n v="539"/>
  </r>
  <r>
    <d v="2023-12-01T00:00:00"/>
    <x v="1"/>
    <s v="Dec"/>
    <x v="2"/>
    <x v="2"/>
    <n v="2509.1"/>
    <n v="235"/>
    <x v="156"/>
    <n v="23040"/>
    <n v="1556.1"/>
    <n v="443"/>
  </r>
  <r>
    <d v="2023-12-01T00:00:00"/>
    <x v="1"/>
    <s v="Dec"/>
    <x v="3"/>
    <x v="1"/>
    <n v="1813.1"/>
    <n v="566"/>
    <x v="157"/>
    <n v="26987"/>
    <n v="245.8"/>
    <n v="635"/>
  </r>
  <r>
    <d v="2023-12-01T00:00:00"/>
    <x v="1"/>
    <s v="Dec"/>
    <x v="4"/>
    <x v="3"/>
    <n v="2263.4"/>
    <n v="510"/>
    <x v="158"/>
    <n v="12993"/>
    <n v="927.2"/>
    <n v="607"/>
  </r>
  <r>
    <d v="2023-12-01T00:00:00"/>
    <x v="1"/>
    <s v="Dec"/>
    <x v="5"/>
    <x v="1"/>
    <n v="2113"/>
    <n v="431"/>
    <x v="155"/>
    <n v="26362"/>
    <n v="711.7"/>
    <n v="858"/>
  </r>
  <r>
    <d v="2023-12-01T00:00:00"/>
    <x v="1"/>
    <s v="Dec"/>
    <x v="6"/>
    <x v="3"/>
    <n v="4340.6000000000004"/>
    <n v="164"/>
    <x v="149"/>
    <n v="5676"/>
    <n v="1883"/>
    <n v="293"/>
  </r>
  <r>
    <d v="2023-12-01T00:00:00"/>
    <x v="1"/>
    <s v="Dec"/>
    <x v="7"/>
    <x v="3"/>
    <n v="7126.3"/>
    <n v="470"/>
    <x v="159"/>
    <n v="15227"/>
    <n v="1083"/>
    <n v="733"/>
  </r>
  <r>
    <d v="2024-01-01T00:00:00"/>
    <x v="2"/>
    <s v="Jan"/>
    <x v="0"/>
    <x v="0"/>
    <n v="4385.2"/>
    <n v="272"/>
    <x v="148"/>
    <n v="4644"/>
    <n v="1906.9"/>
    <n v="346"/>
  </r>
  <r>
    <d v="2024-01-01T00:00:00"/>
    <x v="2"/>
    <s v="Jan"/>
    <x v="1"/>
    <x v="1"/>
    <n v="3959.8"/>
    <n v="572"/>
    <x v="95"/>
    <n v="17078"/>
    <n v="455"/>
    <n v="662"/>
  </r>
  <r>
    <d v="2024-01-01T00:00:00"/>
    <x v="2"/>
    <s v="Jan"/>
    <x v="2"/>
    <x v="2"/>
    <n v="2174.8000000000002"/>
    <n v="37"/>
    <x v="86"/>
    <n v="27588"/>
    <n v="677"/>
    <n v="105"/>
  </r>
  <r>
    <d v="2024-01-01T00:00:00"/>
    <x v="2"/>
    <s v="Jan"/>
    <x v="3"/>
    <x v="1"/>
    <n v="4943.3999999999996"/>
    <n v="289"/>
    <x v="160"/>
    <n v="16424"/>
    <n v="415.1"/>
    <n v="495"/>
  </r>
  <r>
    <d v="2024-01-01T00:00:00"/>
    <x v="2"/>
    <s v="Jan"/>
    <x v="4"/>
    <x v="3"/>
    <n v="7911.1"/>
    <n v="494"/>
    <x v="92"/>
    <n v="14594"/>
    <n v="348.1"/>
    <n v="867"/>
  </r>
  <r>
    <d v="2024-01-01T00:00:00"/>
    <x v="2"/>
    <s v="Jan"/>
    <x v="5"/>
    <x v="1"/>
    <n v="7381.2"/>
    <n v="218"/>
    <x v="161"/>
    <n v="10929"/>
    <n v="1599.2"/>
    <n v="252"/>
  </r>
  <r>
    <d v="2024-01-01T00:00:00"/>
    <x v="2"/>
    <s v="Jan"/>
    <x v="6"/>
    <x v="3"/>
    <n v="5057.1000000000004"/>
    <n v="455"/>
    <x v="162"/>
    <n v="7146"/>
    <n v="1851.4"/>
    <n v="853"/>
  </r>
  <r>
    <d v="2024-01-01T00:00:00"/>
    <x v="2"/>
    <s v="Jan"/>
    <x v="7"/>
    <x v="3"/>
    <n v="3616.3"/>
    <n v="390"/>
    <x v="163"/>
    <n v="29807"/>
    <n v="597.70000000000005"/>
    <n v="401"/>
  </r>
  <r>
    <d v="2024-02-01T00:00:00"/>
    <x v="2"/>
    <s v="Feb"/>
    <x v="0"/>
    <x v="0"/>
    <n v="684.1"/>
    <n v="285"/>
    <x v="164"/>
    <n v="5417"/>
    <n v="1283"/>
    <n v="358"/>
  </r>
  <r>
    <d v="2024-02-01T00:00:00"/>
    <x v="2"/>
    <s v="Feb"/>
    <x v="1"/>
    <x v="1"/>
    <n v="3264.8"/>
    <n v="554"/>
    <x v="136"/>
    <n v="22059"/>
    <n v="949.1"/>
    <n v="720"/>
  </r>
  <r>
    <d v="2024-02-01T00:00:00"/>
    <x v="2"/>
    <s v="Feb"/>
    <x v="2"/>
    <x v="2"/>
    <n v="5347.6"/>
    <n v="367"/>
    <x v="165"/>
    <n v="28551"/>
    <n v="718.3"/>
    <n v="608"/>
  </r>
  <r>
    <d v="2024-02-01T00:00:00"/>
    <x v="2"/>
    <s v="Feb"/>
    <x v="3"/>
    <x v="1"/>
    <n v="1582.4"/>
    <n v="413"/>
    <x v="166"/>
    <n v="2167"/>
    <n v="926.8"/>
    <n v="837"/>
  </r>
  <r>
    <d v="2024-02-01T00:00:00"/>
    <x v="2"/>
    <s v="Feb"/>
    <x v="4"/>
    <x v="3"/>
    <n v="7161.4"/>
    <n v="454"/>
    <x v="167"/>
    <n v="16411"/>
    <n v="1337"/>
    <n v="949"/>
  </r>
  <r>
    <d v="2024-02-01T00:00:00"/>
    <x v="2"/>
    <s v="Feb"/>
    <x v="5"/>
    <x v="1"/>
    <n v="2559.3000000000002"/>
    <n v="569"/>
    <x v="168"/>
    <n v="22416"/>
    <n v="836.1"/>
    <n v="758"/>
  </r>
  <r>
    <d v="2024-02-01T00:00:00"/>
    <x v="2"/>
    <s v="Feb"/>
    <x v="6"/>
    <x v="3"/>
    <n v="4582.2"/>
    <n v="437"/>
    <x v="169"/>
    <n v="27305"/>
    <n v="867.6"/>
    <n v="696"/>
  </r>
  <r>
    <d v="2024-02-01T00:00:00"/>
    <x v="2"/>
    <s v="Feb"/>
    <x v="7"/>
    <x v="3"/>
    <n v="5247.2"/>
    <n v="218"/>
    <x v="170"/>
    <n v="13761"/>
    <n v="295.3"/>
    <n v="427"/>
  </r>
  <r>
    <d v="2024-03-01T00:00:00"/>
    <x v="2"/>
    <s v="Mar"/>
    <x v="0"/>
    <x v="0"/>
    <n v="915.4"/>
    <n v="407"/>
    <x v="171"/>
    <n v="20224"/>
    <n v="88.5"/>
    <n v="738"/>
  </r>
  <r>
    <d v="2024-03-01T00:00:00"/>
    <x v="2"/>
    <s v="Mar"/>
    <x v="1"/>
    <x v="1"/>
    <n v="2747.1"/>
    <n v="134"/>
    <x v="172"/>
    <n v="25958"/>
    <n v="531"/>
    <n v="525"/>
  </r>
  <r>
    <d v="2024-03-01T00:00:00"/>
    <x v="2"/>
    <s v="Mar"/>
    <x v="2"/>
    <x v="2"/>
    <n v="5409.2"/>
    <n v="95"/>
    <x v="173"/>
    <n v="5020"/>
    <n v="602.9"/>
    <n v="239"/>
  </r>
  <r>
    <d v="2024-03-01T00:00:00"/>
    <x v="2"/>
    <s v="Mar"/>
    <x v="3"/>
    <x v="1"/>
    <n v="5462.9"/>
    <n v="547"/>
    <x v="150"/>
    <n v="16720"/>
    <n v="1417.7"/>
    <n v="656"/>
  </r>
  <r>
    <d v="2024-03-01T00:00:00"/>
    <x v="2"/>
    <s v="Mar"/>
    <x v="4"/>
    <x v="3"/>
    <n v="7632.8"/>
    <n v="373"/>
    <x v="33"/>
    <n v="19138"/>
    <n v="675"/>
    <n v="508"/>
  </r>
  <r>
    <d v="2024-03-01T00:00:00"/>
    <x v="2"/>
    <s v="Mar"/>
    <x v="5"/>
    <x v="1"/>
    <n v="7813.8"/>
    <n v="251"/>
    <x v="174"/>
    <n v="1673"/>
    <n v="830.1"/>
    <n v="596"/>
  </r>
  <r>
    <d v="2024-03-01T00:00:00"/>
    <x v="2"/>
    <s v="Mar"/>
    <x v="6"/>
    <x v="3"/>
    <n v="7025.8"/>
    <n v="373"/>
    <x v="175"/>
    <n v="28142"/>
    <n v="1715.3"/>
    <n v="600"/>
  </r>
  <r>
    <d v="2024-03-01T00:00:00"/>
    <x v="2"/>
    <s v="Mar"/>
    <x v="7"/>
    <x v="3"/>
    <n v="2713.3"/>
    <n v="335"/>
    <x v="99"/>
    <n v="19333"/>
    <n v="701.5"/>
    <n v="585"/>
  </r>
  <r>
    <d v="2024-04-01T00:00:00"/>
    <x v="2"/>
    <s v="Apr"/>
    <x v="0"/>
    <x v="0"/>
    <n v="2104.8000000000002"/>
    <n v="549"/>
    <x v="176"/>
    <n v="25456"/>
    <n v="1957.5"/>
    <n v="1011"/>
  </r>
  <r>
    <d v="2024-04-01T00:00:00"/>
    <x v="2"/>
    <s v="Apr"/>
    <x v="1"/>
    <x v="1"/>
    <n v="6010.9"/>
    <n v="463"/>
    <x v="177"/>
    <n v="14937"/>
    <n v="940.1"/>
    <n v="846"/>
  </r>
  <r>
    <d v="2024-04-01T00:00:00"/>
    <x v="2"/>
    <s v="Apr"/>
    <x v="2"/>
    <x v="2"/>
    <n v="2073.8000000000002"/>
    <n v="393"/>
    <x v="9"/>
    <n v="8476"/>
    <n v="1192.5999999999999"/>
    <n v="544"/>
  </r>
  <r>
    <d v="2024-04-01T00:00:00"/>
    <x v="2"/>
    <s v="Apr"/>
    <x v="3"/>
    <x v="1"/>
    <n v="3397.9"/>
    <n v="146"/>
    <x v="125"/>
    <n v="25956"/>
    <n v="377"/>
    <n v="555"/>
  </r>
  <r>
    <d v="2024-04-01T00:00:00"/>
    <x v="2"/>
    <s v="Apr"/>
    <x v="4"/>
    <x v="3"/>
    <n v="258.60000000000002"/>
    <n v="214"/>
    <x v="178"/>
    <n v="25336"/>
    <n v="319.7"/>
    <n v="614"/>
  </r>
  <r>
    <d v="2024-04-01T00:00:00"/>
    <x v="2"/>
    <s v="Apr"/>
    <x v="5"/>
    <x v="1"/>
    <n v="6239.8"/>
    <n v="87"/>
    <x v="179"/>
    <n v="29959"/>
    <n v="425.6"/>
    <n v="288"/>
  </r>
  <r>
    <d v="2024-04-01T00:00:00"/>
    <x v="2"/>
    <s v="Apr"/>
    <x v="6"/>
    <x v="3"/>
    <n v="1400.9"/>
    <n v="265"/>
    <x v="180"/>
    <n v="28054"/>
    <n v="1962.6"/>
    <n v="578"/>
  </r>
  <r>
    <d v="2024-04-01T00:00:00"/>
    <x v="2"/>
    <s v="Apr"/>
    <x v="7"/>
    <x v="3"/>
    <n v="743.2"/>
    <n v="100"/>
    <x v="181"/>
    <n v="8848"/>
    <n v="1775.5"/>
    <n v="497"/>
  </r>
  <r>
    <d v="2024-05-01T00:00:00"/>
    <x v="2"/>
    <s v="May"/>
    <x v="0"/>
    <x v="0"/>
    <n v="5374.9"/>
    <n v="84"/>
    <x v="182"/>
    <n v="6114"/>
    <n v="875.8"/>
    <n v="501"/>
  </r>
  <r>
    <d v="2024-05-01T00:00:00"/>
    <x v="2"/>
    <s v="May"/>
    <x v="1"/>
    <x v="1"/>
    <n v="4507"/>
    <n v="310"/>
    <x v="59"/>
    <n v="19927"/>
    <n v="1984.5"/>
    <n v="656"/>
  </r>
  <r>
    <d v="2024-05-01T00:00:00"/>
    <x v="2"/>
    <s v="May"/>
    <x v="2"/>
    <x v="2"/>
    <n v="7995.5"/>
    <n v="319"/>
    <x v="36"/>
    <n v="22107"/>
    <n v="1954.5"/>
    <n v="375"/>
  </r>
  <r>
    <d v="2024-05-01T00:00:00"/>
    <x v="2"/>
    <s v="May"/>
    <x v="3"/>
    <x v="1"/>
    <n v="2682.9"/>
    <n v="287"/>
    <x v="183"/>
    <n v="2491"/>
    <n v="1360.9"/>
    <n v="505"/>
  </r>
  <r>
    <d v="2024-05-01T00:00:00"/>
    <x v="2"/>
    <s v="May"/>
    <x v="4"/>
    <x v="3"/>
    <n v="2956"/>
    <n v="476"/>
    <x v="182"/>
    <n v="24815"/>
    <n v="862.5"/>
    <n v="893"/>
  </r>
  <r>
    <d v="2024-05-01T00:00:00"/>
    <x v="2"/>
    <s v="May"/>
    <x v="5"/>
    <x v="1"/>
    <n v="2708.1"/>
    <n v="454"/>
    <x v="56"/>
    <n v="15246"/>
    <n v="1791.4"/>
    <n v="856"/>
  </r>
  <r>
    <d v="2024-05-01T00:00:00"/>
    <x v="2"/>
    <s v="May"/>
    <x v="6"/>
    <x v="3"/>
    <n v="1322.5"/>
    <n v="529"/>
    <x v="184"/>
    <n v="5452"/>
    <n v="1091"/>
    <n v="586"/>
  </r>
  <r>
    <d v="2024-05-01T00:00:00"/>
    <x v="2"/>
    <s v="May"/>
    <x v="7"/>
    <x v="3"/>
    <n v="726.6"/>
    <n v="50"/>
    <x v="185"/>
    <n v="13653"/>
    <n v="1560.5"/>
    <n v="60"/>
  </r>
  <r>
    <d v="2024-06-01T00:00:00"/>
    <x v="2"/>
    <s v="Jun"/>
    <x v="0"/>
    <x v="0"/>
    <n v="471.7"/>
    <n v="398"/>
    <x v="186"/>
    <n v="5872"/>
    <n v="336.4"/>
    <n v="811"/>
  </r>
  <r>
    <d v="2024-06-01T00:00:00"/>
    <x v="2"/>
    <s v="Jun"/>
    <x v="1"/>
    <x v="1"/>
    <n v="6914.2"/>
    <n v="497"/>
    <x v="187"/>
    <n v="24756"/>
    <n v="230.9"/>
    <n v="771"/>
  </r>
  <r>
    <d v="2024-06-01T00:00:00"/>
    <x v="2"/>
    <s v="Jun"/>
    <x v="2"/>
    <x v="2"/>
    <n v="3277"/>
    <n v="447"/>
    <x v="188"/>
    <n v="22817"/>
    <n v="1033.0999999999999"/>
    <n v="583"/>
  </r>
  <r>
    <d v="2024-06-01T00:00:00"/>
    <x v="2"/>
    <s v="Jun"/>
    <x v="3"/>
    <x v="1"/>
    <n v="6052.1"/>
    <n v="289"/>
    <x v="189"/>
    <n v="7356"/>
    <n v="456.3"/>
    <n v="479"/>
  </r>
  <r>
    <d v="2024-06-01T00:00:00"/>
    <x v="2"/>
    <s v="Jun"/>
    <x v="4"/>
    <x v="3"/>
    <n v="6061.6"/>
    <n v="88"/>
    <x v="18"/>
    <n v="6112"/>
    <n v="391.9"/>
    <n v="140"/>
  </r>
  <r>
    <d v="2024-06-01T00:00:00"/>
    <x v="2"/>
    <s v="Jun"/>
    <x v="5"/>
    <x v="1"/>
    <n v="6620.2"/>
    <n v="251"/>
    <x v="167"/>
    <n v="4979"/>
    <n v="1324.4"/>
    <n v="746"/>
  </r>
  <r>
    <d v="2024-06-01T00:00:00"/>
    <x v="2"/>
    <s v="Jun"/>
    <x v="6"/>
    <x v="3"/>
    <n v="3700.1"/>
    <n v="247"/>
    <x v="38"/>
    <n v="29292"/>
    <n v="1752.1"/>
    <n v="685"/>
  </r>
  <r>
    <d v="2024-06-01T00:00:00"/>
    <x v="2"/>
    <s v="Jun"/>
    <x v="7"/>
    <x v="3"/>
    <n v="1699.9"/>
    <n v="148"/>
    <x v="171"/>
    <n v="9383"/>
    <n v="1482.7"/>
    <n v="479"/>
  </r>
  <r>
    <d v="2024-07-01T00:00:00"/>
    <x v="2"/>
    <s v="Jul"/>
    <x v="0"/>
    <x v="0"/>
    <n v="4618.1000000000004"/>
    <n v="339"/>
    <x v="190"/>
    <n v="21605"/>
    <n v="101.8"/>
    <n v="754"/>
  </r>
  <r>
    <d v="2024-07-01T00:00:00"/>
    <x v="2"/>
    <s v="Jul"/>
    <x v="1"/>
    <x v="1"/>
    <n v="585.79999999999995"/>
    <n v="368"/>
    <x v="191"/>
    <n v="8545"/>
    <n v="866.4"/>
    <n v="616"/>
  </r>
  <r>
    <d v="2024-07-01T00:00:00"/>
    <x v="2"/>
    <s v="Jul"/>
    <x v="2"/>
    <x v="2"/>
    <n v="6111.7"/>
    <n v="499"/>
    <x v="192"/>
    <n v="12175"/>
    <n v="577.9"/>
    <n v="783"/>
  </r>
  <r>
    <d v="2024-07-01T00:00:00"/>
    <x v="2"/>
    <s v="Jul"/>
    <x v="3"/>
    <x v="1"/>
    <n v="4271"/>
    <n v="202"/>
    <x v="11"/>
    <n v="20622"/>
    <n v="178.9"/>
    <n v="488"/>
  </r>
  <r>
    <d v="2024-07-01T00:00:00"/>
    <x v="2"/>
    <s v="Jul"/>
    <x v="4"/>
    <x v="3"/>
    <n v="208.3"/>
    <n v="143"/>
    <x v="193"/>
    <n v="19742"/>
    <n v="385.3"/>
    <n v="591"/>
  </r>
  <r>
    <d v="2024-07-01T00:00:00"/>
    <x v="2"/>
    <s v="Jul"/>
    <x v="5"/>
    <x v="1"/>
    <n v="7144.1"/>
    <n v="292"/>
    <x v="7"/>
    <n v="28130"/>
    <n v="166"/>
    <n v="535"/>
  </r>
  <r>
    <d v="2024-07-01T00:00:00"/>
    <x v="2"/>
    <s v="Jul"/>
    <x v="6"/>
    <x v="3"/>
    <n v="1878.4"/>
    <n v="359"/>
    <x v="194"/>
    <n v="20706"/>
    <n v="467.5"/>
    <n v="464"/>
  </r>
  <r>
    <d v="2024-07-01T00:00:00"/>
    <x v="2"/>
    <s v="Jul"/>
    <x v="7"/>
    <x v="3"/>
    <n v="973.4"/>
    <n v="140"/>
    <x v="195"/>
    <n v="6108"/>
    <n v="312.60000000000002"/>
    <n v="357"/>
  </r>
  <r>
    <d v="2024-08-01T00:00:00"/>
    <x v="2"/>
    <s v="Aug"/>
    <x v="0"/>
    <x v="0"/>
    <n v="6910.2"/>
    <n v="205"/>
    <x v="196"/>
    <n v="2602"/>
    <n v="746.9"/>
    <n v="391"/>
  </r>
  <r>
    <d v="2024-08-01T00:00:00"/>
    <x v="2"/>
    <s v="Aug"/>
    <x v="1"/>
    <x v="1"/>
    <n v="2265.5"/>
    <n v="374"/>
    <x v="197"/>
    <n v="26762"/>
    <n v="1862.8"/>
    <n v="484"/>
  </r>
  <r>
    <d v="2024-08-01T00:00:00"/>
    <x v="2"/>
    <s v="Aug"/>
    <x v="2"/>
    <x v="2"/>
    <n v="978.7"/>
    <n v="82"/>
    <x v="198"/>
    <n v="18967"/>
    <n v="287.8"/>
    <n v="148"/>
  </r>
  <r>
    <d v="2024-08-01T00:00:00"/>
    <x v="2"/>
    <s v="Aug"/>
    <x v="3"/>
    <x v="1"/>
    <n v="6848.6"/>
    <n v="457"/>
    <x v="199"/>
    <n v="16255"/>
    <n v="1993.5"/>
    <n v="868"/>
  </r>
  <r>
    <d v="2024-08-01T00:00:00"/>
    <x v="2"/>
    <s v="Aug"/>
    <x v="4"/>
    <x v="3"/>
    <n v="544.6"/>
    <n v="252"/>
    <x v="200"/>
    <n v="28510"/>
    <n v="1174.9000000000001"/>
    <n v="420"/>
  </r>
  <r>
    <d v="2024-08-01T00:00:00"/>
    <x v="2"/>
    <s v="Aug"/>
    <x v="5"/>
    <x v="1"/>
    <n v="6488.3"/>
    <n v="118"/>
    <x v="146"/>
    <n v="15460"/>
    <n v="1012.7"/>
    <n v="607"/>
  </r>
  <r>
    <d v="2024-08-01T00:00:00"/>
    <x v="2"/>
    <s v="Aug"/>
    <x v="6"/>
    <x v="3"/>
    <n v="7772.9"/>
    <n v="240"/>
    <x v="141"/>
    <n v="17957"/>
    <n v="299.7"/>
    <n v="444"/>
  </r>
  <r>
    <d v="2024-08-01T00:00:00"/>
    <x v="2"/>
    <s v="Aug"/>
    <x v="7"/>
    <x v="3"/>
    <n v="2704.5"/>
    <n v="132"/>
    <x v="201"/>
    <n v="26118"/>
    <n v="1199.2"/>
    <n v="192"/>
  </r>
  <r>
    <d v="2024-09-01T00:00:00"/>
    <x v="2"/>
    <s v="Sep"/>
    <x v="0"/>
    <x v="0"/>
    <n v="2997.6"/>
    <n v="257"/>
    <x v="131"/>
    <n v="19361"/>
    <n v="1857.2"/>
    <n v="478"/>
  </r>
  <r>
    <d v="2024-09-01T00:00:00"/>
    <x v="2"/>
    <s v="Sep"/>
    <x v="1"/>
    <x v="1"/>
    <n v="7475.7"/>
    <n v="247"/>
    <x v="202"/>
    <n v="14080"/>
    <n v="1157.5"/>
    <n v="418"/>
  </r>
  <r>
    <d v="2024-09-01T00:00:00"/>
    <x v="2"/>
    <s v="Sep"/>
    <x v="2"/>
    <x v="2"/>
    <n v="3802.2"/>
    <n v="402"/>
    <x v="203"/>
    <n v="10300"/>
    <n v="724.2"/>
    <n v="683"/>
  </r>
  <r>
    <d v="2024-09-01T00:00:00"/>
    <x v="2"/>
    <s v="Sep"/>
    <x v="3"/>
    <x v="1"/>
    <n v="3153"/>
    <n v="74"/>
    <x v="138"/>
    <n v="21970"/>
    <n v="808.7"/>
    <n v="165"/>
  </r>
  <r>
    <d v="2024-09-01T00:00:00"/>
    <x v="2"/>
    <s v="Sep"/>
    <x v="4"/>
    <x v="3"/>
    <n v="1873.4"/>
    <n v="346"/>
    <x v="204"/>
    <n v="8465"/>
    <n v="1662.2"/>
    <n v="726"/>
  </r>
  <r>
    <d v="2024-09-01T00:00:00"/>
    <x v="2"/>
    <s v="Sep"/>
    <x v="5"/>
    <x v="1"/>
    <n v="7434.5"/>
    <n v="366"/>
    <x v="205"/>
    <n v="2524"/>
    <n v="1893.8"/>
    <n v="703"/>
  </r>
  <r>
    <d v="2024-09-01T00:00:00"/>
    <x v="2"/>
    <s v="Sep"/>
    <x v="6"/>
    <x v="3"/>
    <n v="3261.4"/>
    <n v="555"/>
    <x v="206"/>
    <n v="1133"/>
    <n v="125.2"/>
    <n v="848"/>
  </r>
  <r>
    <d v="2024-09-01T00:00:00"/>
    <x v="2"/>
    <s v="Sep"/>
    <x v="7"/>
    <x v="3"/>
    <n v="5507.3"/>
    <n v="346"/>
    <x v="207"/>
    <n v="22560"/>
    <n v="1711.7"/>
    <n v="369"/>
  </r>
  <r>
    <d v="2024-10-01T00:00:00"/>
    <x v="2"/>
    <s v="Oct"/>
    <x v="0"/>
    <x v="0"/>
    <n v="4072.1"/>
    <n v="290"/>
    <x v="77"/>
    <n v="23812"/>
    <n v="694.9"/>
    <n v="302"/>
  </r>
  <r>
    <d v="2024-10-01T00:00:00"/>
    <x v="2"/>
    <s v="Oct"/>
    <x v="1"/>
    <x v="1"/>
    <n v="7054.4"/>
    <n v="236"/>
    <x v="11"/>
    <n v="8839"/>
    <n v="363.1"/>
    <n v="522"/>
  </r>
  <r>
    <d v="2024-10-01T00:00:00"/>
    <x v="2"/>
    <s v="Oct"/>
    <x v="2"/>
    <x v="2"/>
    <n v="6244.3"/>
    <n v="308"/>
    <x v="57"/>
    <n v="28997"/>
    <n v="1929"/>
    <n v="580"/>
  </r>
  <r>
    <d v="2024-10-01T00:00:00"/>
    <x v="2"/>
    <s v="Oct"/>
    <x v="3"/>
    <x v="1"/>
    <n v="6874"/>
    <n v="128"/>
    <x v="208"/>
    <n v="26466"/>
    <n v="780.2"/>
    <n v="429"/>
  </r>
  <r>
    <d v="2024-10-01T00:00:00"/>
    <x v="2"/>
    <s v="Oct"/>
    <x v="4"/>
    <x v="3"/>
    <n v="988.6"/>
    <n v="490"/>
    <x v="26"/>
    <n v="17367"/>
    <n v="1965.2"/>
    <n v="736"/>
  </r>
  <r>
    <d v="2024-10-01T00:00:00"/>
    <x v="2"/>
    <s v="Oct"/>
    <x v="5"/>
    <x v="1"/>
    <n v="4936.2"/>
    <n v="266"/>
    <x v="209"/>
    <n v="13110"/>
    <n v="280.89999999999998"/>
    <n v="457"/>
  </r>
  <r>
    <d v="2024-10-01T00:00:00"/>
    <x v="2"/>
    <s v="Oct"/>
    <x v="6"/>
    <x v="3"/>
    <n v="6399.1"/>
    <n v="505"/>
    <x v="210"/>
    <n v="9810"/>
    <n v="1755"/>
    <n v="654"/>
  </r>
  <r>
    <d v="2024-10-01T00:00:00"/>
    <x v="2"/>
    <s v="Oct"/>
    <x v="7"/>
    <x v="3"/>
    <n v="387"/>
    <n v="321"/>
    <x v="211"/>
    <n v="21013"/>
    <n v="368.6"/>
    <n v="558"/>
  </r>
  <r>
    <d v="2024-11-01T00:00:00"/>
    <x v="2"/>
    <s v="Nov"/>
    <x v="0"/>
    <x v="0"/>
    <n v="5413"/>
    <n v="238"/>
    <x v="180"/>
    <n v="2162"/>
    <n v="950.4"/>
    <n v="551"/>
  </r>
  <r>
    <d v="2024-11-01T00:00:00"/>
    <x v="2"/>
    <s v="Nov"/>
    <x v="1"/>
    <x v="1"/>
    <n v="4273.6000000000004"/>
    <n v="144"/>
    <x v="29"/>
    <n v="6465"/>
    <n v="721.1"/>
    <n v="222"/>
  </r>
  <r>
    <d v="2024-11-01T00:00:00"/>
    <x v="2"/>
    <s v="Nov"/>
    <x v="2"/>
    <x v="2"/>
    <n v="955.1"/>
    <n v="569"/>
    <x v="156"/>
    <n v="24460"/>
    <n v="1950.1"/>
    <n v="777"/>
  </r>
  <r>
    <d v="2024-11-01T00:00:00"/>
    <x v="2"/>
    <s v="Nov"/>
    <x v="3"/>
    <x v="1"/>
    <n v="829.7"/>
    <n v="397"/>
    <x v="212"/>
    <n v="19392"/>
    <n v="886.6"/>
    <n v="833"/>
  </r>
  <r>
    <d v="2024-11-01T00:00:00"/>
    <x v="2"/>
    <s v="Nov"/>
    <x v="4"/>
    <x v="3"/>
    <n v="3562.4"/>
    <n v="40"/>
    <x v="61"/>
    <n v="29812"/>
    <n v="1919.5"/>
    <n v="311"/>
  </r>
  <r>
    <d v="2024-11-01T00:00:00"/>
    <x v="2"/>
    <s v="Nov"/>
    <x v="5"/>
    <x v="1"/>
    <n v="515.1"/>
    <n v="429"/>
    <x v="213"/>
    <n v="27186"/>
    <n v="138"/>
    <n v="586"/>
  </r>
  <r>
    <d v="2024-11-01T00:00:00"/>
    <x v="2"/>
    <s v="Nov"/>
    <x v="6"/>
    <x v="3"/>
    <n v="7499.8"/>
    <n v="505"/>
    <x v="66"/>
    <n v="2734"/>
    <n v="1677.7"/>
    <n v="572"/>
  </r>
  <r>
    <d v="2024-11-01T00:00:00"/>
    <x v="2"/>
    <s v="Nov"/>
    <x v="7"/>
    <x v="3"/>
    <n v="1414.9"/>
    <n v="330"/>
    <x v="214"/>
    <n v="17455"/>
    <n v="824.6"/>
    <n v="788"/>
  </r>
  <r>
    <d v="2024-12-01T00:00:00"/>
    <x v="2"/>
    <s v="Dec"/>
    <x v="0"/>
    <x v="0"/>
    <n v="3671.1"/>
    <n v="56"/>
    <x v="215"/>
    <n v="10008"/>
    <n v="419.3"/>
    <n v="540"/>
  </r>
  <r>
    <d v="2024-12-01T00:00:00"/>
    <x v="2"/>
    <s v="Dec"/>
    <x v="1"/>
    <x v="1"/>
    <n v="2431.1999999999998"/>
    <n v="579"/>
    <x v="36"/>
    <n v="26151"/>
    <n v="1430.3"/>
    <n v="635"/>
  </r>
  <r>
    <d v="2024-12-01T00:00:00"/>
    <x v="2"/>
    <s v="Dec"/>
    <x v="2"/>
    <x v="2"/>
    <n v="6674.1"/>
    <n v="586"/>
    <x v="216"/>
    <n v="28358"/>
    <n v="297.5"/>
    <n v="1008"/>
  </r>
  <r>
    <d v="2024-12-01T00:00:00"/>
    <x v="2"/>
    <s v="Dec"/>
    <x v="3"/>
    <x v="1"/>
    <n v="6407.2"/>
    <n v="336"/>
    <x v="217"/>
    <n v="27068"/>
    <n v="1945"/>
    <n v="612"/>
  </r>
  <r>
    <d v="2024-12-01T00:00:00"/>
    <x v="2"/>
    <s v="Dec"/>
    <x v="4"/>
    <x v="3"/>
    <n v="5697.7"/>
    <n v="300"/>
    <x v="218"/>
    <n v="12203"/>
    <n v="755.1"/>
    <n v="533"/>
  </r>
  <r>
    <d v="2024-12-01T00:00:00"/>
    <x v="2"/>
    <s v="Dec"/>
    <x v="5"/>
    <x v="1"/>
    <n v="3253.8"/>
    <n v="72"/>
    <x v="219"/>
    <n v="23616"/>
    <n v="919.8"/>
    <n v="119"/>
  </r>
  <r>
    <d v="2024-12-01T00:00:00"/>
    <x v="2"/>
    <s v="Dec"/>
    <x v="6"/>
    <x v="3"/>
    <n v="7459.3"/>
    <n v="375"/>
    <x v="127"/>
    <n v="5568"/>
    <n v="451.3"/>
    <n v="402"/>
  </r>
  <r>
    <d v="2024-12-01T00:00:00"/>
    <x v="2"/>
    <s v="Dec"/>
    <x v="7"/>
    <x v="3"/>
    <n v="7810.7"/>
    <n v="146"/>
    <x v="113"/>
    <n v="28149"/>
    <n v="1955.5"/>
    <n v="408"/>
  </r>
  <r>
    <d v="2025-01-01T00:00:00"/>
    <x v="3"/>
    <s v="Jan"/>
    <x v="0"/>
    <x v="0"/>
    <n v="2043.6"/>
    <n v="48"/>
    <x v="50"/>
    <n v="2836"/>
    <n v="430.5"/>
    <n v="133"/>
  </r>
  <r>
    <d v="2025-01-01T00:00:00"/>
    <x v="3"/>
    <s v="Jan"/>
    <x v="1"/>
    <x v="1"/>
    <n v="4634.8"/>
    <n v="549"/>
    <x v="220"/>
    <n v="19153"/>
    <n v="443.6"/>
    <n v="822"/>
  </r>
  <r>
    <d v="2025-01-01T00:00:00"/>
    <x v="3"/>
    <s v="Jan"/>
    <x v="2"/>
    <x v="2"/>
    <n v="6444.6"/>
    <n v="378"/>
    <x v="221"/>
    <n v="28516"/>
    <n v="728.4"/>
    <n v="811"/>
  </r>
  <r>
    <d v="2025-01-01T00:00:00"/>
    <x v="3"/>
    <s v="Jan"/>
    <x v="3"/>
    <x v="1"/>
    <n v="906.5"/>
    <n v="151"/>
    <x v="69"/>
    <n v="28425"/>
    <n v="787.7"/>
    <n v="375"/>
  </r>
  <r>
    <d v="2025-01-01T00:00:00"/>
    <x v="3"/>
    <s v="Jan"/>
    <x v="4"/>
    <x v="3"/>
    <n v="6212"/>
    <n v="333"/>
    <x v="222"/>
    <n v="10301"/>
    <n v="1323.7"/>
    <n v="432"/>
  </r>
  <r>
    <d v="2025-01-01T00:00:00"/>
    <x v="3"/>
    <s v="Jan"/>
    <x v="5"/>
    <x v="1"/>
    <n v="5448.3"/>
    <n v="272"/>
    <x v="31"/>
    <n v="21935"/>
    <n v="379.3"/>
    <n v="394"/>
  </r>
  <r>
    <d v="2025-01-01T00:00:00"/>
    <x v="3"/>
    <s v="Jan"/>
    <x v="6"/>
    <x v="3"/>
    <n v="7506"/>
    <n v="128"/>
    <x v="223"/>
    <n v="15431"/>
    <n v="1063.0999999999999"/>
    <n v="190"/>
  </r>
  <r>
    <d v="2025-01-01T00:00:00"/>
    <x v="3"/>
    <s v="Jan"/>
    <x v="7"/>
    <x v="3"/>
    <n v="4163.8999999999996"/>
    <n v="273"/>
    <x v="93"/>
    <n v="15102"/>
    <n v="982"/>
    <n v="770"/>
  </r>
  <r>
    <d v="2025-02-01T00:00:00"/>
    <x v="3"/>
    <s v="Feb"/>
    <x v="0"/>
    <x v="0"/>
    <n v="3489.8"/>
    <n v="58"/>
    <x v="224"/>
    <n v="7611"/>
    <n v="1293.3"/>
    <n v="358"/>
  </r>
  <r>
    <d v="2025-02-01T00:00:00"/>
    <x v="3"/>
    <s v="Feb"/>
    <x v="1"/>
    <x v="1"/>
    <n v="596.5"/>
    <n v="589"/>
    <x v="225"/>
    <n v="27005"/>
    <n v="977.3"/>
    <n v="828"/>
  </r>
  <r>
    <d v="2025-02-01T00:00:00"/>
    <x v="3"/>
    <s v="Feb"/>
    <x v="2"/>
    <x v="2"/>
    <n v="670.6"/>
    <n v="496"/>
    <x v="226"/>
    <n v="23670"/>
    <n v="884.9"/>
    <n v="823"/>
  </r>
  <r>
    <d v="2025-02-01T00:00:00"/>
    <x v="3"/>
    <s v="Feb"/>
    <x v="3"/>
    <x v="1"/>
    <n v="5175.8999999999996"/>
    <n v="516"/>
    <x v="227"/>
    <n v="11082"/>
    <n v="1341.9"/>
    <n v="835"/>
  </r>
  <r>
    <d v="2025-02-01T00:00:00"/>
    <x v="3"/>
    <s v="Feb"/>
    <x v="4"/>
    <x v="3"/>
    <n v="5440.5"/>
    <n v="577"/>
    <x v="209"/>
    <n v="13327"/>
    <n v="1633.6"/>
    <n v="768"/>
  </r>
  <r>
    <d v="2025-02-01T00:00:00"/>
    <x v="3"/>
    <s v="Feb"/>
    <x v="5"/>
    <x v="1"/>
    <n v="4144.8999999999996"/>
    <n v="447"/>
    <x v="228"/>
    <n v="7249"/>
    <n v="1503.1"/>
    <n v="682"/>
  </r>
  <r>
    <d v="2025-02-01T00:00:00"/>
    <x v="3"/>
    <s v="Feb"/>
    <x v="6"/>
    <x v="3"/>
    <n v="1223"/>
    <n v="135"/>
    <x v="229"/>
    <n v="22670"/>
    <n v="1794.6"/>
    <n v="452"/>
  </r>
  <r>
    <d v="2025-02-01T00:00:00"/>
    <x v="3"/>
    <s v="Feb"/>
    <x v="7"/>
    <x v="3"/>
    <n v="2326.1999999999998"/>
    <n v="84"/>
    <x v="230"/>
    <n v="5478"/>
    <n v="435.5"/>
    <n v="562"/>
  </r>
  <r>
    <d v="2025-03-01T00:00:00"/>
    <x v="3"/>
    <s v="Mar"/>
    <x v="0"/>
    <x v="0"/>
    <n v="2472.4"/>
    <n v="327"/>
    <x v="231"/>
    <n v="23055"/>
    <n v="1430.9"/>
    <n v="769"/>
  </r>
  <r>
    <d v="2025-03-01T00:00:00"/>
    <x v="3"/>
    <s v="Mar"/>
    <x v="1"/>
    <x v="1"/>
    <n v="1566.4"/>
    <n v="227"/>
    <x v="232"/>
    <n v="5275"/>
    <n v="583.20000000000005"/>
    <n v="471"/>
  </r>
  <r>
    <d v="2025-03-01T00:00:00"/>
    <x v="3"/>
    <s v="Mar"/>
    <x v="2"/>
    <x v="2"/>
    <n v="2605"/>
    <n v="93"/>
    <x v="233"/>
    <n v="21445"/>
    <n v="186.4"/>
    <n v="372"/>
  </r>
  <r>
    <d v="2025-03-01T00:00:00"/>
    <x v="3"/>
    <s v="Mar"/>
    <x v="3"/>
    <x v="1"/>
    <n v="3952.8"/>
    <n v="473"/>
    <x v="234"/>
    <n v="24637"/>
    <n v="924.1"/>
    <n v="849"/>
  </r>
  <r>
    <d v="2025-03-01T00:00:00"/>
    <x v="3"/>
    <s v="Mar"/>
    <x v="4"/>
    <x v="3"/>
    <n v="6600.3"/>
    <n v="159"/>
    <x v="196"/>
    <n v="6114"/>
    <n v="961.6"/>
    <n v="345"/>
  </r>
  <r>
    <d v="2025-03-01T00:00:00"/>
    <x v="3"/>
    <s v="Mar"/>
    <x v="5"/>
    <x v="1"/>
    <n v="3258.1"/>
    <n v="159"/>
    <x v="235"/>
    <n v="10101"/>
    <n v="582"/>
    <n v="537"/>
  </r>
  <r>
    <d v="2025-03-01T00:00:00"/>
    <x v="3"/>
    <s v="Mar"/>
    <x v="6"/>
    <x v="3"/>
    <n v="1220.9000000000001"/>
    <n v="274"/>
    <x v="12"/>
    <n v="11708"/>
    <n v="510.2"/>
    <n v="432"/>
  </r>
  <r>
    <d v="2025-03-01T00:00:00"/>
    <x v="3"/>
    <s v="Mar"/>
    <x v="7"/>
    <x v="3"/>
    <n v="6152.6"/>
    <n v="559"/>
    <x v="119"/>
    <n v="19646"/>
    <n v="1741"/>
    <n v="812"/>
  </r>
  <r>
    <d v="2025-04-01T00:00:00"/>
    <x v="3"/>
    <s v="Apr"/>
    <x v="0"/>
    <x v="0"/>
    <n v="7990.9"/>
    <n v="375"/>
    <x v="236"/>
    <n v="27349"/>
    <n v="1593.3"/>
    <n v="820"/>
  </r>
  <r>
    <d v="2025-04-01T00:00:00"/>
    <x v="3"/>
    <s v="Apr"/>
    <x v="1"/>
    <x v="1"/>
    <n v="3795.3"/>
    <n v="67"/>
    <x v="237"/>
    <n v="14838"/>
    <n v="1013.9"/>
    <n v="84"/>
  </r>
  <r>
    <d v="2025-04-01T00:00:00"/>
    <x v="3"/>
    <s v="Apr"/>
    <x v="2"/>
    <x v="2"/>
    <n v="3377.4"/>
    <n v="349"/>
    <x v="238"/>
    <n v="25261"/>
    <n v="261.89999999999998"/>
    <n v="629"/>
  </r>
  <r>
    <d v="2025-04-01T00:00:00"/>
    <x v="3"/>
    <s v="Apr"/>
    <x v="3"/>
    <x v="1"/>
    <n v="1956.4"/>
    <n v="479"/>
    <x v="239"/>
    <n v="29849"/>
    <n v="1752.2"/>
    <n v="904"/>
  </r>
  <r>
    <d v="2025-04-01T00:00:00"/>
    <x v="3"/>
    <s v="Apr"/>
    <x v="4"/>
    <x v="3"/>
    <n v="7141.2"/>
    <n v="202"/>
    <x v="160"/>
    <n v="8774"/>
    <n v="1232.3"/>
    <n v="408"/>
  </r>
  <r>
    <d v="2025-04-01T00:00:00"/>
    <x v="3"/>
    <s v="Apr"/>
    <x v="5"/>
    <x v="1"/>
    <n v="7522.7"/>
    <n v="219"/>
    <x v="42"/>
    <n v="9592"/>
    <n v="381.1"/>
    <n v="501"/>
  </r>
  <r>
    <d v="2025-04-01T00:00:00"/>
    <x v="3"/>
    <s v="Apr"/>
    <x v="6"/>
    <x v="3"/>
    <n v="1722.4"/>
    <n v="53"/>
    <x v="240"/>
    <n v="12683"/>
    <n v="1676.5"/>
    <n v="528"/>
  </r>
  <r>
    <d v="2025-04-01T00:00:00"/>
    <x v="3"/>
    <s v="Apr"/>
    <x v="7"/>
    <x v="3"/>
    <n v="5514.4"/>
    <n v="131"/>
    <x v="241"/>
    <n v="24547"/>
    <n v="566.20000000000005"/>
    <n v="226"/>
  </r>
  <r>
    <d v="2025-05-01T00:00:00"/>
    <x v="3"/>
    <s v="May"/>
    <x v="0"/>
    <x v="0"/>
    <n v="7323.6"/>
    <n v="101"/>
    <x v="40"/>
    <n v="24619"/>
    <n v="508.7"/>
    <n v="443"/>
  </r>
  <r>
    <d v="2025-05-01T00:00:00"/>
    <x v="3"/>
    <s v="May"/>
    <x v="1"/>
    <x v="1"/>
    <n v="2354.4"/>
    <n v="579"/>
    <x v="242"/>
    <n v="13468"/>
    <n v="893.4"/>
    <n v="718"/>
  </r>
  <r>
    <d v="2025-05-01T00:00:00"/>
    <x v="3"/>
    <s v="May"/>
    <x v="2"/>
    <x v="2"/>
    <n v="2173.6999999999998"/>
    <n v="469"/>
    <x v="243"/>
    <n v="11971"/>
    <n v="1678.5"/>
    <n v="857"/>
  </r>
  <r>
    <d v="2025-05-01T00:00:00"/>
    <x v="3"/>
    <s v="May"/>
    <x v="3"/>
    <x v="1"/>
    <n v="1862"/>
    <n v="22"/>
    <x v="244"/>
    <n v="29828"/>
    <n v="125.4"/>
    <n v="311"/>
  </r>
  <r>
    <d v="2025-05-01T00:00:00"/>
    <x v="3"/>
    <s v="May"/>
    <x v="4"/>
    <x v="3"/>
    <n v="1822.4"/>
    <n v="320"/>
    <x v="32"/>
    <n v="3582"/>
    <n v="820.7"/>
    <n v="726"/>
  </r>
  <r>
    <d v="2025-05-01T00:00:00"/>
    <x v="3"/>
    <s v="May"/>
    <x v="5"/>
    <x v="1"/>
    <n v="6027.2"/>
    <n v="235"/>
    <x v="245"/>
    <n v="6669"/>
    <n v="849.6"/>
    <n v="337"/>
  </r>
  <r>
    <d v="2025-05-01T00:00:00"/>
    <x v="3"/>
    <s v="May"/>
    <x v="6"/>
    <x v="3"/>
    <n v="3939.5"/>
    <n v="519"/>
    <x v="246"/>
    <n v="21021"/>
    <n v="1966.8"/>
    <n v="843"/>
  </r>
  <r>
    <d v="2025-05-01T00:00:00"/>
    <x v="3"/>
    <s v="May"/>
    <x v="7"/>
    <x v="3"/>
    <n v="3412.4"/>
    <n v="253"/>
    <x v="176"/>
    <n v="8130"/>
    <n v="1473.1"/>
    <n v="715"/>
  </r>
  <r>
    <d v="2025-06-01T00:00:00"/>
    <x v="3"/>
    <s v="Jun"/>
    <x v="0"/>
    <x v="0"/>
    <n v="6085.7"/>
    <n v="76"/>
    <x v="225"/>
    <n v="6816"/>
    <n v="411.5"/>
    <n v="315"/>
  </r>
  <r>
    <d v="2025-06-01T00:00:00"/>
    <x v="3"/>
    <s v="Jun"/>
    <x v="1"/>
    <x v="1"/>
    <n v="3817.9"/>
    <n v="187"/>
    <x v="178"/>
    <n v="27320"/>
    <n v="1615.3"/>
    <n v="587"/>
  </r>
  <r>
    <d v="2025-06-01T00:00:00"/>
    <x v="3"/>
    <s v="Jun"/>
    <x v="2"/>
    <x v="2"/>
    <n v="2275"/>
    <n v="178"/>
    <x v="64"/>
    <n v="4916"/>
    <n v="1890.4"/>
    <n v="312"/>
  </r>
  <r>
    <d v="2025-06-01T00:00:00"/>
    <x v="3"/>
    <s v="Jun"/>
    <x v="3"/>
    <x v="1"/>
    <n v="3336"/>
    <n v="150"/>
    <x v="166"/>
    <n v="12576"/>
    <n v="118.5"/>
    <n v="574"/>
  </r>
  <r>
    <d v="2025-06-01T00:00:00"/>
    <x v="3"/>
    <s v="Jun"/>
    <x v="4"/>
    <x v="3"/>
    <n v="1463.1"/>
    <n v="390"/>
    <x v="145"/>
    <n v="7117"/>
    <n v="1838.9"/>
    <n v="783"/>
  </r>
  <r>
    <d v="2025-06-01T00:00:00"/>
    <x v="3"/>
    <s v="Jun"/>
    <x v="5"/>
    <x v="1"/>
    <n v="6837.8"/>
    <n v="512"/>
    <x v="247"/>
    <n v="2465"/>
    <n v="1741.5"/>
    <n v="633"/>
  </r>
  <r>
    <d v="2025-06-01T00:00:00"/>
    <x v="3"/>
    <s v="Jun"/>
    <x v="6"/>
    <x v="3"/>
    <n v="2585.1999999999998"/>
    <n v="378"/>
    <x v="248"/>
    <n v="4720"/>
    <n v="1572.6"/>
    <n v="760"/>
  </r>
  <r>
    <d v="2025-06-01T00:00:00"/>
    <x v="3"/>
    <s v="Jun"/>
    <x v="7"/>
    <x v="3"/>
    <n v="7520.4"/>
    <n v="442"/>
    <x v="249"/>
    <n v="26423"/>
    <n v="1078.5"/>
    <n v="668"/>
  </r>
  <r>
    <d v="2025-07-01T00:00:00"/>
    <x v="3"/>
    <s v="Jul"/>
    <x v="0"/>
    <x v="0"/>
    <n v="6009.2"/>
    <n v="495"/>
    <x v="250"/>
    <n v="9347"/>
    <n v="279.8"/>
    <n v="872"/>
  </r>
  <r>
    <d v="2025-07-01T00:00:00"/>
    <x v="3"/>
    <s v="Jul"/>
    <x v="1"/>
    <x v="1"/>
    <n v="2059"/>
    <n v="311"/>
    <x v="52"/>
    <n v="17896"/>
    <n v="820.4"/>
    <n v="568"/>
  </r>
  <r>
    <d v="2025-07-01T00:00:00"/>
    <x v="3"/>
    <s v="Jul"/>
    <x v="2"/>
    <x v="2"/>
    <n v="6337.8"/>
    <n v="549"/>
    <x v="251"/>
    <n v="22359"/>
    <n v="1372"/>
    <n v="679"/>
  </r>
  <r>
    <d v="2025-07-01T00:00:00"/>
    <x v="3"/>
    <s v="Jul"/>
    <x v="3"/>
    <x v="1"/>
    <n v="4280.1000000000004"/>
    <n v="129"/>
    <x v="252"/>
    <n v="28858"/>
    <n v="1457.6"/>
    <n v="528"/>
  </r>
  <r>
    <d v="2025-07-01T00:00:00"/>
    <x v="3"/>
    <s v="Jul"/>
    <x v="4"/>
    <x v="3"/>
    <n v="7359.3"/>
    <n v="590"/>
    <x v="253"/>
    <n v="19508"/>
    <n v="974.2"/>
    <n v="772"/>
  </r>
  <r>
    <d v="2025-07-01T00:00:00"/>
    <x v="3"/>
    <s v="Jul"/>
    <x v="5"/>
    <x v="1"/>
    <n v="7895.7"/>
    <n v="74"/>
    <x v="46"/>
    <n v="26390"/>
    <n v="603.9"/>
    <n v="286"/>
  </r>
  <r>
    <d v="2025-07-01T00:00:00"/>
    <x v="3"/>
    <s v="Jul"/>
    <x v="6"/>
    <x v="3"/>
    <n v="6344.8"/>
    <n v="242"/>
    <x v="254"/>
    <n v="26622"/>
    <n v="637.6"/>
    <n v="732"/>
  </r>
  <r>
    <d v="2025-07-01T00:00:00"/>
    <x v="3"/>
    <s v="Jul"/>
    <x v="7"/>
    <x v="3"/>
    <n v="6207.5"/>
    <n v="215"/>
    <x v="255"/>
    <n v="20095"/>
    <n v="1667.7"/>
    <n v="522"/>
  </r>
  <r>
    <d v="2025-08-01T00:00:00"/>
    <x v="3"/>
    <s v="Aug"/>
    <x v="0"/>
    <x v="0"/>
    <n v="390.7"/>
    <n v="147"/>
    <x v="256"/>
    <n v="17342"/>
    <n v="1016.4"/>
    <n v="505"/>
  </r>
  <r>
    <d v="2025-08-01T00:00:00"/>
    <x v="3"/>
    <s v="Aug"/>
    <x v="1"/>
    <x v="1"/>
    <n v="630.6"/>
    <n v="222"/>
    <x v="221"/>
    <n v="1895"/>
    <n v="823.1"/>
    <n v="655"/>
  </r>
  <r>
    <d v="2025-08-01T00:00:00"/>
    <x v="3"/>
    <s v="Aug"/>
    <x v="2"/>
    <x v="2"/>
    <n v="7572.2"/>
    <n v="49"/>
    <x v="250"/>
    <n v="8470"/>
    <n v="1739.9"/>
    <n v="426"/>
  </r>
  <r>
    <d v="2025-08-01T00:00:00"/>
    <x v="3"/>
    <s v="Aug"/>
    <x v="3"/>
    <x v="1"/>
    <n v="6019.3"/>
    <n v="533"/>
    <x v="257"/>
    <n v="16407"/>
    <n v="1569.6"/>
    <n v="648"/>
  </r>
  <r>
    <d v="2025-08-01T00:00:00"/>
    <x v="3"/>
    <s v="Aug"/>
    <x v="4"/>
    <x v="3"/>
    <n v="2116.5"/>
    <n v="153"/>
    <x v="207"/>
    <n v="28796"/>
    <n v="1434.5"/>
    <n v="176"/>
  </r>
  <r>
    <d v="2025-08-01T00:00:00"/>
    <x v="3"/>
    <s v="Aug"/>
    <x v="5"/>
    <x v="1"/>
    <n v="5157.3999999999996"/>
    <n v="451"/>
    <x v="258"/>
    <n v="14807"/>
    <n v="926.6"/>
    <n v="721"/>
  </r>
  <r>
    <d v="2025-08-01T00:00:00"/>
    <x v="3"/>
    <s v="Aug"/>
    <x v="6"/>
    <x v="3"/>
    <n v="5195.3999999999996"/>
    <n v="136"/>
    <x v="236"/>
    <n v="24540"/>
    <n v="731.6"/>
    <n v="581"/>
  </r>
  <r>
    <d v="2025-08-01T00:00:00"/>
    <x v="3"/>
    <s v="Aug"/>
    <x v="7"/>
    <x v="3"/>
    <n v="4713.2"/>
    <n v="101"/>
    <x v="259"/>
    <n v="27183"/>
    <n v="1847.7"/>
    <n v="587"/>
  </r>
  <r>
    <d v="2025-09-01T00:00:00"/>
    <x v="3"/>
    <s v="Sep"/>
    <x v="0"/>
    <x v="0"/>
    <n v="2790.9"/>
    <n v="118"/>
    <x v="260"/>
    <n v="3610"/>
    <n v="284.2"/>
    <n v="231"/>
  </r>
  <r>
    <d v="2025-09-01T00:00:00"/>
    <x v="3"/>
    <s v="Sep"/>
    <x v="1"/>
    <x v="1"/>
    <n v="756.2"/>
    <n v="594"/>
    <x v="261"/>
    <n v="4843"/>
    <n v="1663.1"/>
    <n v="640"/>
  </r>
  <r>
    <d v="2025-09-01T00:00:00"/>
    <x v="3"/>
    <s v="Sep"/>
    <x v="2"/>
    <x v="2"/>
    <n v="4725.8999999999996"/>
    <n v="469"/>
    <x v="227"/>
    <n v="26583"/>
    <n v="1295"/>
    <n v="788"/>
  </r>
  <r>
    <d v="2025-09-01T00:00:00"/>
    <x v="3"/>
    <s v="Sep"/>
    <x v="3"/>
    <x v="1"/>
    <n v="4272.6000000000004"/>
    <n v="433"/>
    <x v="262"/>
    <n v="11035"/>
    <n v="961.9"/>
    <n v="662"/>
  </r>
  <r>
    <d v="2025-09-01T00:00:00"/>
    <x v="3"/>
    <s v="Sep"/>
    <x v="4"/>
    <x v="3"/>
    <n v="1523.8"/>
    <n v="482"/>
    <x v="263"/>
    <n v="5452"/>
    <n v="530.4"/>
    <n v="619"/>
  </r>
  <r>
    <d v="2025-09-01T00:00:00"/>
    <x v="3"/>
    <s v="Sep"/>
    <x v="5"/>
    <x v="1"/>
    <n v="6768.1"/>
    <n v="211"/>
    <x v="59"/>
    <n v="25835"/>
    <n v="201.6"/>
    <n v="557"/>
  </r>
  <r>
    <d v="2025-09-01T00:00:00"/>
    <x v="3"/>
    <s v="Sep"/>
    <x v="6"/>
    <x v="3"/>
    <n v="6167.2"/>
    <n v="198"/>
    <x v="264"/>
    <n v="20978"/>
    <n v="1824.1"/>
    <n v="314"/>
  </r>
  <r>
    <d v="2025-09-01T00:00:00"/>
    <x v="3"/>
    <s v="Sep"/>
    <x v="7"/>
    <x v="3"/>
    <n v="2501.1"/>
    <n v="349"/>
    <x v="265"/>
    <n v="17074"/>
    <n v="1262.5999999999999"/>
    <n v="501"/>
  </r>
  <r>
    <d v="2025-10-01T00:00:00"/>
    <x v="3"/>
    <s v="Oct"/>
    <x v="0"/>
    <x v="0"/>
    <n v="4960.6000000000004"/>
    <n v="381"/>
    <x v="266"/>
    <n v="21112"/>
    <n v="1365.8"/>
    <n v="457"/>
  </r>
  <r>
    <d v="2025-10-01T00:00:00"/>
    <x v="3"/>
    <s v="Oct"/>
    <x v="1"/>
    <x v="1"/>
    <n v="5524.2"/>
    <n v="62"/>
    <x v="17"/>
    <n v="12862"/>
    <n v="219.1"/>
    <n v="290"/>
  </r>
  <r>
    <d v="2025-10-01T00:00:00"/>
    <x v="3"/>
    <s v="Oct"/>
    <x v="2"/>
    <x v="2"/>
    <n v="1934.5"/>
    <n v="275"/>
    <x v="267"/>
    <n v="7874"/>
    <n v="1668"/>
    <n v="649"/>
  </r>
  <r>
    <d v="2025-10-01T00:00:00"/>
    <x v="3"/>
    <s v="Oct"/>
    <x v="3"/>
    <x v="1"/>
    <n v="4457.2"/>
    <n v="461"/>
    <x v="165"/>
    <n v="15476"/>
    <n v="1258.5"/>
    <n v="702"/>
  </r>
  <r>
    <d v="2025-10-01T00:00:00"/>
    <x v="3"/>
    <s v="Oct"/>
    <x v="4"/>
    <x v="3"/>
    <n v="7438.2"/>
    <n v="305"/>
    <x v="268"/>
    <n v="18457"/>
    <n v="1488.2"/>
    <n v="574"/>
  </r>
  <r>
    <d v="2025-10-01T00:00:00"/>
    <x v="3"/>
    <s v="Oct"/>
    <x v="5"/>
    <x v="1"/>
    <n v="760.4"/>
    <n v="319"/>
    <x v="269"/>
    <n v="27728"/>
    <n v="1012.3"/>
    <n v="564"/>
  </r>
  <r>
    <d v="2025-10-01T00:00:00"/>
    <x v="3"/>
    <s v="Oct"/>
    <x v="6"/>
    <x v="3"/>
    <n v="3852.9"/>
    <n v="578"/>
    <x v="270"/>
    <n v="6245"/>
    <n v="473"/>
    <n v="808"/>
  </r>
  <r>
    <d v="2025-10-01T00:00:00"/>
    <x v="3"/>
    <s v="Oct"/>
    <x v="7"/>
    <x v="3"/>
    <n v="942.5"/>
    <n v="20"/>
    <x v="131"/>
    <n v="23308"/>
    <n v="1480.3"/>
    <n v="241"/>
  </r>
  <r>
    <d v="2025-11-01T00:00:00"/>
    <x v="3"/>
    <s v="Nov"/>
    <x v="0"/>
    <x v="0"/>
    <n v="450.8"/>
    <n v="350"/>
    <x v="50"/>
    <n v="28291"/>
    <n v="376.4"/>
    <n v="435"/>
  </r>
  <r>
    <d v="2025-11-01T00:00:00"/>
    <x v="3"/>
    <s v="Nov"/>
    <x v="1"/>
    <x v="1"/>
    <n v="5087.8"/>
    <n v="209"/>
    <x v="246"/>
    <n v="12955"/>
    <n v="1531.3"/>
    <n v="533"/>
  </r>
  <r>
    <d v="2025-11-01T00:00:00"/>
    <x v="3"/>
    <s v="Nov"/>
    <x v="2"/>
    <x v="2"/>
    <n v="1999.3"/>
    <n v="545"/>
    <x v="39"/>
    <n v="22926"/>
    <n v="1707"/>
    <n v="800"/>
  </r>
  <r>
    <d v="2025-11-01T00:00:00"/>
    <x v="3"/>
    <s v="Nov"/>
    <x v="3"/>
    <x v="1"/>
    <n v="7990.9"/>
    <n v="149"/>
    <x v="271"/>
    <n v="8262"/>
    <n v="562.6"/>
    <n v="299"/>
  </r>
  <r>
    <d v="2025-11-01T00:00:00"/>
    <x v="3"/>
    <s v="Nov"/>
    <x v="4"/>
    <x v="3"/>
    <n v="4743.1000000000004"/>
    <n v="596"/>
    <x v="167"/>
    <n v="16276"/>
    <n v="1296.0999999999999"/>
    <n v="1091"/>
  </r>
  <r>
    <d v="2025-11-01T00:00:00"/>
    <x v="3"/>
    <s v="Nov"/>
    <x v="5"/>
    <x v="1"/>
    <n v="6907.8"/>
    <n v="561"/>
    <x v="150"/>
    <n v="16327"/>
    <n v="1674"/>
    <n v="670"/>
  </r>
  <r>
    <d v="2025-11-01T00:00:00"/>
    <x v="3"/>
    <s v="Nov"/>
    <x v="6"/>
    <x v="3"/>
    <n v="2565"/>
    <n v="275"/>
    <x v="109"/>
    <n v="29566"/>
    <n v="1816.9"/>
    <n v="767"/>
  </r>
  <r>
    <d v="2025-11-01T00:00:00"/>
    <x v="3"/>
    <s v="Nov"/>
    <x v="7"/>
    <x v="3"/>
    <n v="6427.9"/>
    <n v="176"/>
    <x v="272"/>
    <n v="16871"/>
    <n v="1143.5"/>
    <n v="343"/>
  </r>
  <r>
    <d v="2025-12-01T00:00:00"/>
    <x v="3"/>
    <s v="Dec"/>
    <x v="0"/>
    <x v="0"/>
    <n v="4142.8999999999996"/>
    <n v="389"/>
    <x v="273"/>
    <n v="22726"/>
    <n v="700.4"/>
    <n v="599"/>
  </r>
  <r>
    <d v="2025-12-01T00:00:00"/>
    <x v="3"/>
    <s v="Dec"/>
    <x v="1"/>
    <x v="1"/>
    <n v="2779.3"/>
    <n v="93"/>
    <x v="245"/>
    <n v="25665"/>
    <n v="920.3"/>
    <n v="195"/>
  </r>
  <r>
    <d v="2025-12-01T00:00:00"/>
    <x v="3"/>
    <s v="Dec"/>
    <x v="2"/>
    <x v="2"/>
    <n v="1977.4"/>
    <n v="460"/>
    <x v="203"/>
    <n v="1613"/>
    <n v="666.9"/>
    <n v="741"/>
  </r>
  <r>
    <d v="2025-12-01T00:00:00"/>
    <x v="3"/>
    <s v="Dec"/>
    <x v="3"/>
    <x v="1"/>
    <n v="1580.6"/>
    <n v="400"/>
    <x v="173"/>
    <n v="2883"/>
    <n v="157.1"/>
    <n v="544"/>
  </r>
  <r>
    <d v="2025-12-01T00:00:00"/>
    <x v="3"/>
    <s v="Dec"/>
    <x v="4"/>
    <x v="3"/>
    <n v="4737.5"/>
    <n v="32"/>
    <x v="239"/>
    <n v="5506"/>
    <n v="1232.8"/>
    <n v="457"/>
  </r>
  <r>
    <d v="2025-12-01T00:00:00"/>
    <x v="3"/>
    <s v="Dec"/>
    <x v="5"/>
    <x v="1"/>
    <n v="3668.6"/>
    <n v="276"/>
    <x v="274"/>
    <n v="24279"/>
    <n v="1791.5"/>
    <n v="321"/>
  </r>
  <r>
    <d v="2025-12-01T00:00:00"/>
    <x v="3"/>
    <s v="Dec"/>
    <x v="6"/>
    <x v="3"/>
    <n v="285.89999999999998"/>
    <n v="123"/>
    <x v="106"/>
    <n v="16935"/>
    <n v="342.6"/>
    <n v="575"/>
  </r>
  <r>
    <d v="2025-12-01T00:00:00"/>
    <x v="3"/>
    <s v="Dec"/>
    <x v="7"/>
    <x v="3"/>
    <n v="1781.8"/>
    <n v="402"/>
    <x v="63"/>
    <n v="18383"/>
    <n v="1908.6"/>
    <n v="7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EAF095-4C68-41EE-B20E-6700FCF198EF}" name="PivotTable9"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0:B75" firstHeaderRow="1" firstDataRow="1" firstDataCol="1"/>
  <pivotFields count="11">
    <pivotField numFmtId="164" showAll="0"/>
    <pivotField showAll="0">
      <items count="5">
        <item x="0"/>
        <item x="1"/>
        <item x="2"/>
        <item x="3"/>
        <item t="default"/>
      </items>
    </pivotField>
    <pivotField showAll="0"/>
    <pivotField showAll="0">
      <items count="9">
        <item x="1"/>
        <item x="4"/>
        <item x="0"/>
        <item x="6"/>
        <item x="2"/>
        <item x="5"/>
        <item x="7"/>
        <item x="3"/>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s>
  <rowFields count="1">
    <field x="4"/>
  </rowFields>
  <rowItems count="5">
    <i>
      <x v="3"/>
    </i>
    <i>
      <x v="1"/>
    </i>
    <i>
      <x v="2"/>
    </i>
    <i>
      <x/>
    </i>
    <i t="grand">
      <x/>
    </i>
  </rowItems>
  <colItems count="1">
    <i/>
  </colItems>
  <dataFields count="1">
    <dataField name="Sum of Military_Spending_MUSD" fld="5" baseField="0" baseItem="0"/>
  </dataFields>
  <chartFormats count="3">
    <chartFormat chart="2"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55E876-03FD-4EF4-8A9F-1D8CBDBC6EAD}"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58:F67" firstHeaderRow="0" firstDataRow="1" firstDataCol="1"/>
  <pivotFields count="11">
    <pivotField numFmtId="164" showAll="0"/>
    <pivotField showAll="0">
      <items count="5">
        <item x="0"/>
        <item x="1"/>
        <item x="2"/>
        <item x="3"/>
        <item t="default"/>
      </items>
    </pivotField>
    <pivotField showAll="0"/>
    <pivotField axis="axisRow" showAll="0" sortType="ascending">
      <items count="9">
        <item x="3"/>
        <item x="7"/>
        <item x="5"/>
        <item x="2"/>
        <item x="6"/>
        <item x="0"/>
        <item x="4"/>
        <item x="1"/>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dataField="1" showAll="0"/>
    <pivotField dataField="1" showAll="0"/>
    <pivotField showAll="0"/>
    <pivotField showAll="0"/>
    <pivotField showAll="0"/>
  </pivotFields>
  <rowFields count="1">
    <field x="3"/>
  </rowFields>
  <rowItems count="9">
    <i>
      <x v="1"/>
    </i>
    <i>
      <x v="5"/>
    </i>
    <i>
      <x v="2"/>
    </i>
    <i>
      <x v="4"/>
    </i>
    <i>
      <x v="7"/>
    </i>
    <i>
      <x v="6"/>
    </i>
    <i>
      <x/>
    </i>
    <i>
      <x v="3"/>
    </i>
    <i t="grand">
      <x/>
    </i>
  </rowItems>
  <colFields count="1">
    <field x="-2"/>
  </colFields>
  <colItems count="2">
    <i>
      <x/>
    </i>
    <i i="1">
      <x v="1"/>
    </i>
  </colItems>
  <dataFields count="2">
    <dataField name="Sum of Civilian_Casualties" fld="6" baseField="0" baseItem="0"/>
    <dataField name="Sum of Military_Casualties" fld="7" baseField="0" baseItem="0"/>
  </dataFields>
  <chartFormats count="5">
    <chartFormat chart="17"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1"/>
          </reference>
        </references>
      </pivotArea>
    </chartFormat>
    <chartFormat chart="19" format="9"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1"/>
          </reference>
        </references>
      </pivotArea>
    </chartFormat>
    <chartFormat chart="19" format="11">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A8BA81-B576-4768-B7E6-E9E0E360D12A}"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37:D46" firstHeaderRow="1" firstDataRow="1" firstDataCol="1"/>
  <pivotFields count="11">
    <pivotField numFmtId="164" showAll="0"/>
    <pivotField showAll="0">
      <items count="5">
        <item x="0"/>
        <item x="1"/>
        <item x="2"/>
        <item x="3"/>
        <item t="default"/>
      </items>
    </pivotField>
    <pivotField showAll="0"/>
    <pivotField axis="axisRow" showAll="0">
      <items count="9">
        <item x="1"/>
        <item x="4"/>
        <item x="0"/>
        <item x="6"/>
        <item x="2"/>
        <item x="5"/>
        <item x="7"/>
        <item x="3"/>
        <item t="default"/>
      </items>
    </pivotField>
    <pivotField showAll="0">
      <items count="5">
        <item x="2"/>
        <item x="3"/>
        <item x="0"/>
        <item x="1"/>
        <item t="default"/>
      </items>
    </pivotField>
    <pivotField showAll="0"/>
    <pivotField showAll="0"/>
    <pivotField showAll="0"/>
    <pivotField showAll="0"/>
    <pivotField dataField="1" showAll="0"/>
    <pivotField showAll="0"/>
  </pivotFields>
  <rowFields count="1">
    <field x="3"/>
  </rowFields>
  <rowItems count="9">
    <i>
      <x/>
    </i>
    <i>
      <x v="1"/>
    </i>
    <i>
      <x v="2"/>
    </i>
    <i>
      <x v="3"/>
    </i>
    <i>
      <x v="4"/>
    </i>
    <i>
      <x v="5"/>
    </i>
    <i>
      <x v="6"/>
    </i>
    <i>
      <x v="7"/>
    </i>
    <i t="grand">
      <x/>
    </i>
  </rowItems>
  <colItems count="1">
    <i/>
  </colItems>
  <dataFields count="1">
    <dataField name="Sum of Foreign_Aid_MUSD" fld="9" baseField="0" baseItem="0"/>
  </dataFields>
  <chartFormats count="18">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3" count="1" selected="0">
            <x v="0"/>
          </reference>
        </references>
      </pivotArea>
    </chartFormat>
    <chartFormat chart="13" format="12">
      <pivotArea type="data" outline="0" fieldPosition="0">
        <references count="2">
          <reference field="4294967294" count="1" selected="0">
            <x v="0"/>
          </reference>
          <reference field="3" count="1" selected="0">
            <x v="1"/>
          </reference>
        </references>
      </pivotArea>
    </chartFormat>
    <chartFormat chart="13" format="13">
      <pivotArea type="data" outline="0" fieldPosition="0">
        <references count="2">
          <reference field="4294967294" count="1" selected="0">
            <x v="0"/>
          </reference>
          <reference field="3" count="1" selected="0">
            <x v="2"/>
          </reference>
        </references>
      </pivotArea>
    </chartFormat>
    <chartFormat chart="13" format="14">
      <pivotArea type="data" outline="0" fieldPosition="0">
        <references count="2">
          <reference field="4294967294" count="1" selected="0">
            <x v="0"/>
          </reference>
          <reference field="3" count="1" selected="0">
            <x v="3"/>
          </reference>
        </references>
      </pivotArea>
    </chartFormat>
    <chartFormat chart="13" format="15">
      <pivotArea type="data" outline="0" fieldPosition="0">
        <references count="2">
          <reference field="4294967294" count="1" selected="0">
            <x v="0"/>
          </reference>
          <reference field="3" count="1" selected="0">
            <x v="4"/>
          </reference>
        </references>
      </pivotArea>
    </chartFormat>
    <chartFormat chart="13" format="16">
      <pivotArea type="data" outline="0" fieldPosition="0">
        <references count="2">
          <reference field="4294967294" count="1" selected="0">
            <x v="0"/>
          </reference>
          <reference field="3" count="1" selected="0">
            <x v="5"/>
          </reference>
        </references>
      </pivotArea>
    </chartFormat>
    <chartFormat chart="13" format="17">
      <pivotArea type="data" outline="0" fieldPosition="0">
        <references count="2">
          <reference field="4294967294" count="1" selected="0">
            <x v="0"/>
          </reference>
          <reference field="3" count="1" selected="0">
            <x v="6"/>
          </reference>
        </references>
      </pivotArea>
    </chartFormat>
    <chartFormat chart="13" format="18">
      <pivotArea type="data" outline="0" fieldPosition="0">
        <references count="2">
          <reference field="4294967294" count="1" selected="0">
            <x v="0"/>
          </reference>
          <reference field="3" count="1" selected="0">
            <x v="7"/>
          </reference>
        </references>
      </pivotArea>
    </chartFormat>
    <chartFormat chart="15" format="28" series="1">
      <pivotArea type="data" outline="0" fieldPosition="0">
        <references count="1">
          <reference field="4294967294" count="1" selected="0">
            <x v="0"/>
          </reference>
        </references>
      </pivotArea>
    </chartFormat>
    <chartFormat chart="15" format="29">
      <pivotArea type="data" outline="0" fieldPosition="0">
        <references count="2">
          <reference field="4294967294" count="1" selected="0">
            <x v="0"/>
          </reference>
          <reference field="3" count="1" selected="0">
            <x v="0"/>
          </reference>
        </references>
      </pivotArea>
    </chartFormat>
    <chartFormat chart="15" format="30">
      <pivotArea type="data" outline="0" fieldPosition="0">
        <references count="2">
          <reference field="4294967294" count="1" selected="0">
            <x v="0"/>
          </reference>
          <reference field="3" count="1" selected="0">
            <x v="1"/>
          </reference>
        </references>
      </pivotArea>
    </chartFormat>
    <chartFormat chart="15" format="31">
      <pivotArea type="data" outline="0" fieldPosition="0">
        <references count="2">
          <reference field="4294967294" count="1" selected="0">
            <x v="0"/>
          </reference>
          <reference field="3" count="1" selected="0">
            <x v="2"/>
          </reference>
        </references>
      </pivotArea>
    </chartFormat>
    <chartFormat chart="15" format="32">
      <pivotArea type="data" outline="0" fieldPosition="0">
        <references count="2">
          <reference field="4294967294" count="1" selected="0">
            <x v="0"/>
          </reference>
          <reference field="3" count="1" selected="0">
            <x v="3"/>
          </reference>
        </references>
      </pivotArea>
    </chartFormat>
    <chartFormat chart="15" format="33">
      <pivotArea type="data" outline="0" fieldPosition="0">
        <references count="2">
          <reference field="4294967294" count="1" selected="0">
            <x v="0"/>
          </reference>
          <reference field="3" count="1" selected="0">
            <x v="4"/>
          </reference>
        </references>
      </pivotArea>
    </chartFormat>
    <chartFormat chart="15" format="34">
      <pivotArea type="data" outline="0" fieldPosition="0">
        <references count="2">
          <reference field="4294967294" count="1" selected="0">
            <x v="0"/>
          </reference>
          <reference field="3" count="1" selected="0">
            <x v="5"/>
          </reference>
        </references>
      </pivotArea>
    </chartFormat>
    <chartFormat chart="15" format="35">
      <pivotArea type="data" outline="0" fieldPosition="0">
        <references count="2">
          <reference field="4294967294" count="1" selected="0">
            <x v="0"/>
          </reference>
          <reference field="3" count="1" selected="0">
            <x v="6"/>
          </reference>
        </references>
      </pivotArea>
    </chartFormat>
    <chartFormat chart="15" format="36">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6F59F4-8260-4B5E-9ACD-64D7E3FBA782}"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B64" firstHeaderRow="1" firstDataRow="1" firstDataCol="1"/>
  <pivotFields count="11">
    <pivotField numFmtId="164" showAll="0"/>
    <pivotField showAll="0">
      <items count="5">
        <item x="0"/>
        <item x="1"/>
        <item x="2"/>
        <item x="3"/>
        <item t="default"/>
      </items>
    </pivotField>
    <pivotField showAll="0"/>
    <pivotField axis="axisRow" showAll="0" sortType="ascending">
      <items count="9">
        <item x="1"/>
        <item x="4"/>
        <item x="0"/>
        <item x="6"/>
        <item x="2"/>
        <item x="5"/>
        <item x="7"/>
        <item x="3"/>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showAll="0"/>
    <pivotField showAll="0"/>
    <pivotField dataField="1" showAll="0"/>
  </pivotFields>
  <rowFields count="1">
    <field x="3"/>
  </rowFields>
  <rowItems count="9">
    <i>
      <x v="6"/>
    </i>
    <i>
      <x v="2"/>
    </i>
    <i>
      <x v="5"/>
    </i>
    <i>
      <x v="3"/>
    </i>
    <i>
      <x/>
    </i>
    <i>
      <x v="7"/>
    </i>
    <i>
      <x v="4"/>
    </i>
    <i>
      <x v="1"/>
    </i>
    <i t="grand">
      <x/>
    </i>
  </rowItems>
  <colItems count="1">
    <i/>
  </colItems>
  <dataFields count="1">
    <dataField name="Sum of Total_casulties" fld="10"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7FE6AB-CB83-488C-9C49-E4140673499F}" name="PivotTable5"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1" firstHeaderRow="0" firstDataRow="0" firstDataCol="0"/>
  <pivotFields count="13">
    <pivotField numFmtId="16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items count="9">
        <item x="1"/>
        <item x="4"/>
        <item x="0"/>
        <item x="6"/>
        <item x="2"/>
        <item x="5"/>
        <item x="7"/>
        <item x="3"/>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3E2E93-0F3C-4618-90D6-2BFEAED4710F}"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3:B36" firstHeaderRow="1" firstDataRow="1" firstDataCol="1"/>
  <pivotFields count="13">
    <pivotField numFmtId="16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axis="axisRow" showAll="0">
      <items count="13">
        <item x="0"/>
        <item h="1" x="1"/>
        <item h="1" x="2"/>
        <item h="1" x="3"/>
        <item h="1" x="4"/>
        <item h="1" x="5"/>
        <item x="6"/>
        <item h="1" x="7"/>
        <item h="1" x="8"/>
        <item h="1" x="9"/>
        <item h="1" x="10"/>
        <item h="1" x="11"/>
        <item t="default"/>
      </items>
    </pivotField>
    <pivotField showAll="0"/>
    <pivotField showAll="0"/>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x="1"/>
        <item x="2"/>
        <item x="3"/>
        <item x="4"/>
        <item sd="0" x="5"/>
      </items>
    </pivotField>
  </pivotFields>
  <rowFields count="2">
    <field x="12"/>
    <field x="2"/>
  </rowFields>
  <rowItems count="13">
    <i>
      <x v="1"/>
    </i>
    <i r="1">
      <x/>
    </i>
    <i r="1">
      <x v="6"/>
    </i>
    <i>
      <x v="2"/>
    </i>
    <i r="1">
      <x/>
    </i>
    <i r="1">
      <x v="6"/>
    </i>
    <i>
      <x v="3"/>
    </i>
    <i r="1">
      <x/>
    </i>
    <i r="1">
      <x v="6"/>
    </i>
    <i>
      <x v="4"/>
    </i>
    <i r="1">
      <x/>
    </i>
    <i r="1">
      <x v="6"/>
    </i>
    <i t="grand">
      <x/>
    </i>
  </rowItems>
  <colItems count="1">
    <i/>
  </colItems>
  <dataFields count="1">
    <dataField name="Sum of Refugees_Displaced" fld="8" baseField="0" baseItem="0"/>
  </dataFields>
  <chartFormats count="2">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20B685-6474-4B75-B5CE-45C868C2A358}"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6" firstHeaderRow="1" firstDataRow="1" firstDataCol="1"/>
  <pivotFields count="13">
    <pivotField numFmtId="16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5">
        <item x="0"/>
        <item x="1"/>
        <item x="2"/>
        <item x="3"/>
        <item t="default"/>
      </items>
    </pivotField>
    <pivotField axis="axisRow" showAll="0">
      <items count="13">
        <item x="0"/>
        <item h="1" x="1"/>
        <item h="1" x="2"/>
        <item h="1" x="3"/>
        <item h="1" x="4"/>
        <item h="1" x="5"/>
        <item x="6"/>
        <item h="1" x="7"/>
        <item h="1" x="8"/>
        <item h="1" x="9"/>
        <item h="1" x="10"/>
        <item h="1" x="11"/>
        <item t="default"/>
      </items>
    </pivotField>
    <pivotField showAll="0">
      <items count="9">
        <item x="1"/>
        <item x="4"/>
        <item x="0"/>
        <item x="6"/>
        <item x="2"/>
        <item x="5"/>
        <item x="7"/>
        <item x="3"/>
        <item t="default"/>
      </items>
    </pivotField>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x="0"/>
        <item x="1"/>
        <item x="2"/>
        <item x="3"/>
        <item x="4"/>
        <item x="5"/>
        <item t="default"/>
      </items>
    </pivotField>
  </pivotFields>
  <rowFields count="2">
    <field x="12"/>
    <field x="2"/>
  </rowFields>
  <rowItems count="13">
    <i>
      <x v="1"/>
    </i>
    <i r="1">
      <x/>
    </i>
    <i r="1">
      <x v="6"/>
    </i>
    <i>
      <x v="2"/>
    </i>
    <i r="1">
      <x/>
    </i>
    <i r="1">
      <x v="6"/>
    </i>
    <i>
      <x v="3"/>
    </i>
    <i r="1">
      <x/>
    </i>
    <i r="1">
      <x v="6"/>
    </i>
    <i>
      <x v="4"/>
    </i>
    <i r="1">
      <x/>
    </i>
    <i r="1">
      <x v="6"/>
    </i>
    <i t="grand">
      <x/>
    </i>
  </rowItems>
  <colItems count="1">
    <i/>
  </colItems>
  <dataFields count="1">
    <dataField name="Sum of Military_Spending_MUSD" fld="5" baseField="0" baseItem="0"/>
  </dataFields>
  <chartFormats count="2">
    <chartFormat chart="17" format="5"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EDD705-7DA0-476B-B4EA-BC6C4969DB22}" sourceName="Region">
  <pivotTables>
    <pivotTable tabId="8" name="PivotTable9"/>
    <pivotTable tabId="8" name="PivotTable6"/>
    <pivotTable tabId="8" name="PivotTable7"/>
    <pivotTable tabId="8" name="PivotTable8"/>
  </pivotTables>
  <data>
    <tabular pivotCacheId="210648804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lict" xr10:uid="{4735A20A-CE08-45D2-ADDE-EC9C072EA414}" sourceName="Conflict">
  <pivotTables>
    <pivotTable tabId="8" name="PivotTable8"/>
    <pivotTable tabId="8" name="PivotTable6"/>
    <pivotTable tabId="8" name="PivotTable7"/>
    <pivotTable tabId="8" name="PivotTable9"/>
  </pivotTables>
  <data>
    <tabular pivotCacheId="2106488046">
      <items count="8">
        <i x="1" s="1"/>
        <i x="4" s="1"/>
        <i x="0" s="1"/>
        <i x="6" s="1"/>
        <i x="2" s="1"/>
        <i x="5" s="1"/>
        <i x="7"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10B78EE-F05D-49E2-ADEA-2DAEF8A419C7}" sourceName="Year">
  <pivotTables>
    <pivotTable tabId="8" name="PivotTable9"/>
    <pivotTable tabId="8" name="PivotTable6"/>
    <pivotTable tabId="8" name="PivotTable7"/>
    <pivotTable tabId="8" name="PivotTable8"/>
  </pivotTables>
  <data>
    <tabular pivotCacheId="210648804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EA5B72-0D1F-409C-8210-AA2A0D7DB00F}" cache="Slicer_Region" caption="Region" style="SlicerStyleDark1" rowHeight="234950"/>
  <slicer name="Conflict" xr10:uid="{CB03D948-B93F-40BE-916D-4BAFFB6A9780}" cache="Slicer_Conflict" caption="Conflict"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96B2D1A-F6D5-45B7-8EA9-5F373BF5E5B3}" cache="Slicer_Region" caption="Region" style="SlicerStyleDark1" rowHeight="234950"/>
  <slicer name="Conflict 1" xr10:uid="{7CD73D43-24AF-4A36-87B8-BF8238F696D2}" cache="Slicer_Conflict" caption="Conflict" style="SlicerStyleDark1" rowHeight="234950"/>
  <slicer name="Year" xr10:uid="{674787F8-1FB5-44A1-AF7B-91EBA3D27FC2}" cache="Slicer_Year" caption="Year"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5"/>
  <sheetViews>
    <sheetView topLeftCell="G1" workbookViewId="0">
      <selection activeCell="M3" sqref="M3"/>
    </sheetView>
  </sheetViews>
  <sheetFormatPr defaultRowHeight="14.4" x14ac:dyDescent="0.3"/>
  <cols>
    <col min="1" max="1" width="14.109375" customWidth="1"/>
    <col min="2" max="2" width="17.109375" customWidth="1"/>
    <col min="3" max="3" width="18.77734375" customWidth="1"/>
    <col min="4" max="4" width="31.5546875" customWidth="1"/>
    <col min="5" max="5" width="21.6640625" customWidth="1"/>
    <col min="6" max="6" width="23" bestFit="1" customWidth="1"/>
    <col min="7" max="7" width="23.6640625" customWidth="1"/>
    <col min="8" max="8" width="24" customWidth="1"/>
    <col min="9" max="9" width="25.5546875" customWidth="1"/>
    <col min="10" max="10" width="24.44140625" customWidth="1"/>
    <col min="11" max="11" width="14.44140625" bestFit="1" customWidth="1"/>
    <col min="12" max="12" width="20.88671875" bestFit="1" customWidth="1"/>
    <col min="13" max="13" width="24" customWidth="1"/>
    <col min="14" max="14" width="15.21875" bestFit="1" customWidth="1"/>
    <col min="15" max="15" width="14.109375" bestFit="1" customWidth="1"/>
  </cols>
  <sheetData>
    <row r="1" spans="1:15" x14ac:dyDescent="0.3">
      <c r="A1" s="1" t="s">
        <v>0</v>
      </c>
      <c r="B1" s="1" t="s">
        <v>1</v>
      </c>
      <c r="C1" s="1" t="s">
        <v>2</v>
      </c>
      <c r="D1" s="1" t="s">
        <v>3</v>
      </c>
      <c r="E1" s="1" t="s">
        <v>4</v>
      </c>
      <c r="F1" s="1" t="s">
        <v>5</v>
      </c>
      <c r="G1" s="1" t="s">
        <v>6</v>
      </c>
      <c r="H1" s="1" t="s">
        <v>7</v>
      </c>
      <c r="I1" s="1" t="s">
        <v>8</v>
      </c>
      <c r="J1" s="1" t="s">
        <v>9</v>
      </c>
      <c r="K1" s="7" t="s">
        <v>44</v>
      </c>
      <c r="L1" s="7" t="s">
        <v>47</v>
      </c>
      <c r="M1" s="7" t="s">
        <v>48</v>
      </c>
      <c r="N1" s="7" t="s">
        <v>49</v>
      </c>
      <c r="O1" s="7" t="s">
        <v>50</v>
      </c>
    </row>
    <row r="2" spans="1:15" x14ac:dyDescent="0.3">
      <c r="A2" s="2">
        <v>44562</v>
      </c>
      <c r="B2">
        <v>2022</v>
      </c>
      <c r="C2" t="s">
        <v>10</v>
      </c>
      <c r="D2" t="s">
        <v>11</v>
      </c>
      <c r="E2" t="s">
        <v>12</v>
      </c>
      <c r="F2">
        <v>6236.9</v>
      </c>
      <c r="G2">
        <v>274</v>
      </c>
      <c r="H2">
        <v>430</v>
      </c>
      <c r="I2">
        <v>21223</v>
      </c>
      <c r="J2">
        <v>233.6</v>
      </c>
      <c r="K2">
        <f>(G2+H2)</f>
        <v>704</v>
      </c>
      <c r="L2">
        <f>SUM(F2:F385)</f>
        <v>1564563.8999999992</v>
      </c>
      <c r="M2">
        <f>SUM(I2:I385)</f>
        <v>6026858</v>
      </c>
      <c r="N2">
        <f>SUM(J2:J385)</f>
        <v>393267.29999999981</v>
      </c>
      <c r="O2">
        <f>SUM(K2:K385)</f>
        <v>218779</v>
      </c>
    </row>
    <row r="3" spans="1:15" x14ac:dyDescent="0.3">
      <c r="A3" s="2">
        <v>44562</v>
      </c>
      <c r="B3">
        <v>2022</v>
      </c>
      <c r="C3" t="s">
        <v>10</v>
      </c>
      <c r="D3" t="s">
        <v>13</v>
      </c>
      <c r="E3" t="s">
        <v>14</v>
      </c>
      <c r="F3">
        <v>7809.9</v>
      </c>
      <c r="G3">
        <v>461</v>
      </c>
      <c r="H3">
        <v>395</v>
      </c>
      <c r="I3">
        <v>4715</v>
      </c>
      <c r="J3">
        <v>928.3</v>
      </c>
      <c r="K3">
        <f t="shared" ref="K3:K66" si="0">(G3+H3)</f>
        <v>856</v>
      </c>
    </row>
    <row r="4" spans="1:15" x14ac:dyDescent="0.3">
      <c r="A4" s="2">
        <v>44562</v>
      </c>
      <c r="B4">
        <v>2022</v>
      </c>
      <c r="C4" t="s">
        <v>10</v>
      </c>
      <c r="D4" t="s">
        <v>15</v>
      </c>
      <c r="E4" t="s">
        <v>16</v>
      </c>
      <c r="F4">
        <v>3092.2</v>
      </c>
      <c r="G4">
        <v>557</v>
      </c>
      <c r="H4">
        <v>325</v>
      </c>
      <c r="I4">
        <v>24860</v>
      </c>
      <c r="J4">
        <v>914.7</v>
      </c>
      <c r="K4">
        <f t="shared" si="0"/>
        <v>882</v>
      </c>
    </row>
    <row r="5" spans="1:15" x14ac:dyDescent="0.3">
      <c r="A5" s="2">
        <v>44562</v>
      </c>
      <c r="B5">
        <v>2022</v>
      </c>
      <c r="C5" t="s">
        <v>10</v>
      </c>
      <c r="D5" t="s">
        <v>17</v>
      </c>
      <c r="E5" t="s">
        <v>14</v>
      </c>
      <c r="F5">
        <v>1972.5</v>
      </c>
      <c r="G5">
        <v>341</v>
      </c>
      <c r="H5">
        <v>41</v>
      </c>
      <c r="I5">
        <v>25001</v>
      </c>
      <c r="J5">
        <v>1281.7</v>
      </c>
      <c r="K5">
        <f t="shared" si="0"/>
        <v>382</v>
      </c>
    </row>
    <row r="6" spans="1:15" x14ac:dyDescent="0.3">
      <c r="A6" s="2">
        <v>44562</v>
      </c>
      <c r="B6">
        <v>2022</v>
      </c>
      <c r="C6" t="s">
        <v>10</v>
      </c>
      <c r="D6" t="s">
        <v>18</v>
      </c>
      <c r="E6" t="s">
        <v>19</v>
      </c>
      <c r="F6">
        <v>6113.1</v>
      </c>
      <c r="G6">
        <v>225</v>
      </c>
      <c r="H6">
        <v>485</v>
      </c>
      <c r="I6">
        <v>26900</v>
      </c>
      <c r="J6">
        <v>1567.8</v>
      </c>
      <c r="K6">
        <f t="shared" si="0"/>
        <v>710</v>
      </c>
    </row>
    <row r="7" spans="1:15" x14ac:dyDescent="0.3">
      <c r="A7" s="2">
        <v>44562</v>
      </c>
      <c r="B7">
        <v>2022</v>
      </c>
      <c r="C7" t="s">
        <v>10</v>
      </c>
      <c r="D7" t="s">
        <v>20</v>
      </c>
      <c r="E7" t="s">
        <v>14</v>
      </c>
      <c r="F7">
        <v>1718.2</v>
      </c>
      <c r="G7">
        <v>290</v>
      </c>
      <c r="H7">
        <v>31</v>
      </c>
      <c r="I7">
        <v>5474</v>
      </c>
      <c r="J7">
        <v>1381.9</v>
      </c>
      <c r="K7">
        <f t="shared" si="0"/>
        <v>321</v>
      </c>
    </row>
    <row r="8" spans="1:15" x14ac:dyDescent="0.3">
      <c r="A8" s="2">
        <v>44562</v>
      </c>
      <c r="B8">
        <v>2022</v>
      </c>
      <c r="C8" t="s">
        <v>10</v>
      </c>
      <c r="D8" t="s">
        <v>21</v>
      </c>
      <c r="E8" t="s">
        <v>19</v>
      </c>
      <c r="F8">
        <v>6009.1</v>
      </c>
      <c r="G8">
        <v>581</v>
      </c>
      <c r="H8">
        <v>169</v>
      </c>
      <c r="I8">
        <v>11743</v>
      </c>
      <c r="J8">
        <v>965.6</v>
      </c>
      <c r="K8">
        <f t="shared" si="0"/>
        <v>750</v>
      </c>
    </row>
    <row r="9" spans="1:15" x14ac:dyDescent="0.3">
      <c r="A9" s="2">
        <v>44562</v>
      </c>
      <c r="B9">
        <v>2022</v>
      </c>
      <c r="C9" t="s">
        <v>10</v>
      </c>
      <c r="D9" t="s">
        <v>22</v>
      </c>
      <c r="E9" t="s">
        <v>19</v>
      </c>
      <c r="F9">
        <v>1677.9</v>
      </c>
      <c r="G9">
        <v>95</v>
      </c>
      <c r="H9">
        <v>243</v>
      </c>
      <c r="I9">
        <v>7580</v>
      </c>
      <c r="J9">
        <v>1356.1</v>
      </c>
      <c r="K9">
        <f t="shared" si="0"/>
        <v>338</v>
      </c>
    </row>
    <row r="10" spans="1:15" x14ac:dyDescent="0.3">
      <c r="A10" s="2">
        <v>44593</v>
      </c>
      <c r="B10">
        <v>2022</v>
      </c>
      <c r="C10" t="s">
        <v>23</v>
      </c>
      <c r="D10" t="s">
        <v>11</v>
      </c>
      <c r="E10" t="s">
        <v>12</v>
      </c>
      <c r="F10">
        <v>3609.8</v>
      </c>
      <c r="G10">
        <v>502</v>
      </c>
      <c r="H10">
        <v>353</v>
      </c>
      <c r="I10">
        <v>10058</v>
      </c>
      <c r="J10">
        <v>1672.9</v>
      </c>
      <c r="K10">
        <f t="shared" si="0"/>
        <v>855</v>
      </c>
    </row>
    <row r="11" spans="1:15" x14ac:dyDescent="0.3">
      <c r="A11" s="2">
        <v>44593</v>
      </c>
      <c r="B11">
        <v>2022</v>
      </c>
      <c r="C11" t="s">
        <v>23</v>
      </c>
      <c r="D11" t="s">
        <v>13</v>
      </c>
      <c r="E11" t="s">
        <v>14</v>
      </c>
      <c r="F11">
        <v>6477.2</v>
      </c>
      <c r="G11">
        <v>244</v>
      </c>
      <c r="H11">
        <v>151</v>
      </c>
      <c r="I11">
        <v>20792</v>
      </c>
      <c r="J11">
        <v>322.5</v>
      </c>
      <c r="K11">
        <f t="shared" si="0"/>
        <v>395</v>
      </c>
    </row>
    <row r="12" spans="1:15" x14ac:dyDescent="0.3">
      <c r="A12" s="2">
        <v>44593</v>
      </c>
      <c r="B12">
        <v>2022</v>
      </c>
      <c r="C12" t="s">
        <v>23</v>
      </c>
      <c r="D12" t="s">
        <v>15</v>
      </c>
      <c r="E12" t="s">
        <v>16</v>
      </c>
      <c r="F12">
        <v>1759.3</v>
      </c>
      <c r="G12">
        <v>24</v>
      </c>
      <c r="H12">
        <v>395</v>
      </c>
      <c r="I12">
        <v>20280</v>
      </c>
      <c r="J12">
        <v>1425.1</v>
      </c>
      <c r="K12">
        <f t="shared" si="0"/>
        <v>419</v>
      </c>
    </row>
    <row r="13" spans="1:15" x14ac:dyDescent="0.3">
      <c r="A13" s="2">
        <v>44593</v>
      </c>
      <c r="B13">
        <v>2022</v>
      </c>
      <c r="C13" t="s">
        <v>23</v>
      </c>
      <c r="D13" t="s">
        <v>17</v>
      </c>
      <c r="E13" t="s">
        <v>14</v>
      </c>
      <c r="F13">
        <v>6289.7</v>
      </c>
      <c r="G13">
        <v>286</v>
      </c>
      <c r="H13">
        <v>288</v>
      </c>
      <c r="I13">
        <v>5054</v>
      </c>
      <c r="J13">
        <v>273.3</v>
      </c>
      <c r="K13">
        <f t="shared" si="0"/>
        <v>574</v>
      </c>
    </row>
    <row r="14" spans="1:15" x14ac:dyDescent="0.3">
      <c r="A14" s="2">
        <v>44593</v>
      </c>
      <c r="B14">
        <v>2022</v>
      </c>
      <c r="C14" t="s">
        <v>23</v>
      </c>
      <c r="D14" t="s">
        <v>18</v>
      </c>
      <c r="E14" t="s">
        <v>19</v>
      </c>
      <c r="F14">
        <v>5413.5</v>
      </c>
      <c r="G14">
        <v>293</v>
      </c>
      <c r="H14">
        <v>286</v>
      </c>
      <c r="I14">
        <v>23184</v>
      </c>
      <c r="J14">
        <v>1287.7</v>
      </c>
      <c r="K14">
        <f t="shared" si="0"/>
        <v>579</v>
      </c>
    </row>
    <row r="15" spans="1:15" x14ac:dyDescent="0.3">
      <c r="A15" s="2">
        <v>44593</v>
      </c>
      <c r="B15">
        <v>2022</v>
      </c>
      <c r="C15" t="s">
        <v>23</v>
      </c>
      <c r="D15" t="s">
        <v>20</v>
      </c>
      <c r="E15" t="s">
        <v>14</v>
      </c>
      <c r="F15">
        <v>4517.8999999999996</v>
      </c>
      <c r="G15">
        <v>344</v>
      </c>
      <c r="H15">
        <v>158</v>
      </c>
      <c r="I15">
        <v>1893</v>
      </c>
      <c r="J15">
        <v>901.6</v>
      </c>
      <c r="K15">
        <f t="shared" si="0"/>
        <v>502</v>
      </c>
    </row>
    <row r="16" spans="1:15" x14ac:dyDescent="0.3">
      <c r="A16" s="2">
        <v>44593</v>
      </c>
      <c r="B16">
        <v>2022</v>
      </c>
      <c r="C16" t="s">
        <v>23</v>
      </c>
      <c r="D16" t="s">
        <v>21</v>
      </c>
      <c r="E16" t="s">
        <v>19</v>
      </c>
      <c r="F16">
        <v>1873.8</v>
      </c>
      <c r="G16">
        <v>256</v>
      </c>
      <c r="H16">
        <v>428</v>
      </c>
      <c r="I16">
        <v>7784</v>
      </c>
      <c r="J16">
        <v>163.69999999999999</v>
      </c>
      <c r="K16">
        <f t="shared" si="0"/>
        <v>684</v>
      </c>
    </row>
    <row r="17" spans="1:11" x14ac:dyDescent="0.3">
      <c r="A17" s="2">
        <v>44593</v>
      </c>
      <c r="B17">
        <v>2022</v>
      </c>
      <c r="C17" t="s">
        <v>23</v>
      </c>
      <c r="D17" t="s">
        <v>22</v>
      </c>
      <c r="E17" t="s">
        <v>19</v>
      </c>
      <c r="F17">
        <v>2394.8000000000002</v>
      </c>
      <c r="G17">
        <v>190</v>
      </c>
      <c r="H17">
        <v>334</v>
      </c>
      <c r="I17">
        <v>17153</v>
      </c>
      <c r="J17">
        <v>1578.6</v>
      </c>
      <c r="K17">
        <f t="shared" si="0"/>
        <v>524</v>
      </c>
    </row>
    <row r="18" spans="1:11" x14ac:dyDescent="0.3">
      <c r="A18" s="2">
        <v>44621</v>
      </c>
      <c r="B18">
        <v>2022</v>
      </c>
      <c r="C18" t="s">
        <v>24</v>
      </c>
      <c r="D18" t="s">
        <v>11</v>
      </c>
      <c r="E18" t="s">
        <v>12</v>
      </c>
      <c r="F18">
        <v>5381.6</v>
      </c>
      <c r="G18">
        <v>255</v>
      </c>
      <c r="H18">
        <v>408</v>
      </c>
      <c r="I18">
        <v>5842</v>
      </c>
      <c r="J18">
        <v>94.3</v>
      </c>
      <c r="K18">
        <f t="shared" si="0"/>
        <v>663</v>
      </c>
    </row>
    <row r="19" spans="1:11" x14ac:dyDescent="0.3">
      <c r="A19" s="2">
        <v>44621</v>
      </c>
      <c r="B19">
        <v>2022</v>
      </c>
      <c r="C19" t="s">
        <v>24</v>
      </c>
      <c r="D19" t="s">
        <v>13</v>
      </c>
      <c r="E19" t="s">
        <v>14</v>
      </c>
      <c r="F19">
        <v>902.4</v>
      </c>
      <c r="G19">
        <v>438</v>
      </c>
      <c r="H19">
        <v>236</v>
      </c>
      <c r="I19">
        <v>5676</v>
      </c>
      <c r="J19">
        <v>1027</v>
      </c>
      <c r="K19">
        <f t="shared" si="0"/>
        <v>674</v>
      </c>
    </row>
    <row r="20" spans="1:11" x14ac:dyDescent="0.3">
      <c r="A20" s="2">
        <v>44621</v>
      </c>
      <c r="B20">
        <v>2022</v>
      </c>
      <c r="C20" t="s">
        <v>24</v>
      </c>
      <c r="D20" t="s">
        <v>15</v>
      </c>
      <c r="E20" t="s">
        <v>16</v>
      </c>
      <c r="F20">
        <v>1388</v>
      </c>
      <c r="G20">
        <v>423</v>
      </c>
      <c r="H20">
        <v>228</v>
      </c>
      <c r="I20">
        <v>12049</v>
      </c>
      <c r="J20">
        <v>637.9</v>
      </c>
      <c r="K20">
        <f t="shared" si="0"/>
        <v>651</v>
      </c>
    </row>
    <row r="21" spans="1:11" x14ac:dyDescent="0.3">
      <c r="A21" s="2">
        <v>44621</v>
      </c>
      <c r="B21">
        <v>2022</v>
      </c>
      <c r="C21" t="s">
        <v>24</v>
      </c>
      <c r="D21" t="s">
        <v>17</v>
      </c>
      <c r="E21" t="s">
        <v>14</v>
      </c>
      <c r="F21">
        <v>5116.2</v>
      </c>
      <c r="G21">
        <v>229</v>
      </c>
      <c r="H21">
        <v>52</v>
      </c>
      <c r="I21">
        <v>4422</v>
      </c>
      <c r="J21">
        <v>1925.7</v>
      </c>
      <c r="K21">
        <f t="shared" si="0"/>
        <v>281</v>
      </c>
    </row>
    <row r="22" spans="1:11" x14ac:dyDescent="0.3">
      <c r="A22" s="2">
        <v>44621</v>
      </c>
      <c r="B22">
        <v>2022</v>
      </c>
      <c r="C22" t="s">
        <v>24</v>
      </c>
      <c r="D22" t="s">
        <v>18</v>
      </c>
      <c r="E22" t="s">
        <v>19</v>
      </c>
      <c r="F22">
        <v>7286.9</v>
      </c>
      <c r="G22">
        <v>425</v>
      </c>
      <c r="H22">
        <v>140</v>
      </c>
      <c r="I22">
        <v>29106</v>
      </c>
      <c r="J22">
        <v>1568.6</v>
      </c>
      <c r="K22">
        <f t="shared" si="0"/>
        <v>565</v>
      </c>
    </row>
    <row r="23" spans="1:11" x14ac:dyDescent="0.3">
      <c r="A23" s="2">
        <v>44621</v>
      </c>
      <c r="B23">
        <v>2022</v>
      </c>
      <c r="C23" t="s">
        <v>24</v>
      </c>
      <c r="D23" t="s">
        <v>20</v>
      </c>
      <c r="E23" t="s">
        <v>14</v>
      </c>
      <c r="F23">
        <v>5791.7</v>
      </c>
      <c r="G23">
        <v>280</v>
      </c>
      <c r="H23">
        <v>143</v>
      </c>
      <c r="I23">
        <v>3795</v>
      </c>
      <c r="J23">
        <v>1810.1</v>
      </c>
      <c r="K23">
        <f t="shared" si="0"/>
        <v>423</v>
      </c>
    </row>
    <row r="24" spans="1:11" x14ac:dyDescent="0.3">
      <c r="A24" s="2">
        <v>44621</v>
      </c>
      <c r="B24">
        <v>2022</v>
      </c>
      <c r="C24" t="s">
        <v>24</v>
      </c>
      <c r="D24" t="s">
        <v>21</v>
      </c>
      <c r="E24" t="s">
        <v>19</v>
      </c>
      <c r="F24">
        <v>3755.1</v>
      </c>
      <c r="G24">
        <v>137</v>
      </c>
      <c r="H24">
        <v>159</v>
      </c>
      <c r="I24">
        <v>17797</v>
      </c>
      <c r="J24">
        <v>394.7</v>
      </c>
      <c r="K24">
        <f t="shared" si="0"/>
        <v>296</v>
      </c>
    </row>
    <row r="25" spans="1:11" x14ac:dyDescent="0.3">
      <c r="A25" s="2">
        <v>44621</v>
      </c>
      <c r="B25">
        <v>2022</v>
      </c>
      <c r="C25" t="s">
        <v>24</v>
      </c>
      <c r="D25" t="s">
        <v>22</v>
      </c>
      <c r="E25" t="s">
        <v>19</v>
      </c>
      <c r="F25">
        <v>6881.6</v>
      </c>
      <c r="G25">
        <v>459</v>
      </c>
      <c r="H25">
        <v>362</v>
      </c>
      <c r="I25">
        <v>13530</v>
      </c>
      <c r="J25">
        <v>1273.3</v>
      </c>
      <c r="K25">
        <f t="shared" si="0"/>
        <v>821</v>
      </c>
    </row>
    <row r="26" spans="1:11" x14ac:dyDescent="0.3">
      <c r="A26" s="2">
        <v>44652</v>
      </c>
      <c r="B26">
        <v>2022</v>
      </c>
      <c r="C26" t="s">
        <v>25</v>
      </c>
      <c r="D26" t="s">
        <v>11</v>
      </c>
      <c r="E26" t="s">
        <v>12</v>
      </c>
      <c r="F26">
        <v>4756</v>
      </c>
      <c r="G26">
        <v>396</v>
      </c>
      <c r="H26">
        <v>51</v>
      </c>
      <c r="I26">
        <v>13058</v>
      </c>
      <c r="J26">
        <v>131.1</v>
      </c>
      <c r="K26">
        <f t="shared" si="0"/>
        <v>447</v>
      </c>
    </row>
    <row r="27" spans="1:11" x14ac:dyDescent="0.3">
      <c r="A27" s="2">
        <v>44652</v>
      </c>
      <c r="B27">
        <v>2022</v>
      </c>
      <c r="C27" t="s">
        <v>25</v>
      </c>
      <c r="D27" t="s">
        <v>13</v>
      </c>
      <c r="E27" t="s">
        <v>14</v>
      </c>
      <c r="F27">
        <v>4053.1</v>
      </c>
      <c r="G27">
        <v>211</v>
      </c>
      <c r="H27">
        <v>80</v>
      </c>
      <c r="I27">
        <v>3998</v>
      </c>
      <c r="J27">
        <v>1195.9000000000001</v>
      </c>
      <c r="K27">
        <f t="shared" si="0"/>
        <v>291</v>
      </c>
    </row>
    <row r="28" spans="1:11" x14ac:dyDescent="0.3">
      <c r="A28" s="2">
        <v>44652</v>
      </c>
      <c r="B28">
        <v>2022</v>
      </c>
      <c r="C28" t="s">
        <v>25</v>
      </c>
      <c r="D28" t="s">
        <v>15</v>
      </c>
      <c r="E28" t="s">
        <v>16</v>
      </c>
      <c r="F28">
        <v>1530.6</v>
      </c>
      <c r="G28">
        <v>556</v>
      </c>
      <c r="H28">
        <v>294</v>
      </c>
      <c r="I28">
        <v>11059</v>
      </c>
      <c r="J28">
        <v>1202.3</v>
      </c>
      <c r="K28">
        <f t="shared" si="0"/>
        <v>850</v>
      </c>
    </row>
    <row r="29" spans="1:11" x14ac:dyDescent="0.3">
      <c r="A29" s="2">
        <v>44652</v>
      </c>
      <c r="B29">
        <v>2022</v>
      </c>
      <c r="C29" t="s">
        <v>25</v>
      </c>
      <c r="D29" t="s">
        <v>17</v>
      </c>
      <c r="E29" t="s">
        <v>14</v>
      </c>
      <c r="F29">
        <v>377.9</v>
      </c>
      <c r="G29">
        <v>575</v>
      </c>
      <c r="H29">
        <v>246</v>
      </c>
      <c r="I29">
        <v>23699</v>
      </c>
      <c r="J29">
        <v>211.3</v>
      </c>
      <c r="K29">
        <f t="shared" si="0"/>
        <v>821</v>
      </c>
    </row>
    <row r="30" spans="1:11" x14ac:dyDescent="0.3">
      <c r="A30" s="2">
        <v>44652</v>
      </c>
      <c r="B30">
        <v>2022</v>
      </c>
      <c r="C30" t="s">
        <v>25</v>
      </c>
      <c r="D30" t="s">
        <v>18</v>
      </c>
      <c r="E30" t="s">
        <v>19</v>
      </c>
      <c r="F30">
        <v>3995.9</v>
      </c>
      <c r="G30">
        <v>304</v>
      </c>
      <c r="H30">
        <v>469</v>
      </c>
      <c r="I30">
        <v>17580</v>
      </c>
      <c r="J30">
        <v>973.3</v>
      </c>
      <c r="K30">
        <f t="shared" si="0"/>
        <v>773</v>
      </c>
    </row>
    <row r="31" spans="1:11" x14ac:dyDescent="0.3">
      <c r="A31" s="2">
        <v>44652</v>
      </c>
      <c r="B31">
        <v>2022</v>
      </c>
      <c r="C31" t="s">
        <v>25</v>
      </c>
      <c r="D31" t="s">
        <v>20</v>
      </c>
      <c r="E31" t="s">
        <v>14</v>
      </c>
      <c r="F31">
        <v>2282.4</v>
      </c>
      <c r="G31">
        <v>212</v>
      </c>
      <c r="H31">
        <v>265</v>
      </c>
      <c r="I31">
        <v>13728</v>
      </c>
      <c r="J31">
        <v>92.1</v>
      </c>
      <c r="K31">
        <f t="shared" si="0"/>
        <v>477</v>
      </c>
    </row>
    <row r="32" spans="1:11" x14ac:dyDescent="0.3">
      <c r="A32" s="2">
        <v>44652</v>
      </c>
      <c r="B32">
        <v>2022</v>
      </c>
      <c r="C32" t="s">
        <v>25</v>
      </c>
      <c r="D32" t="s">
        <v>21</v>
      </c>
      <c r="E32" t="s">
        <v>19</v>
      </c>
      <c r="F32">
        <v>6645.1</v>
      </c>
      <c r="G32">
        <v>539</v>
      </c>
      <c r="H32">
        <v>78</v>
      </c>
      <c r="I32">
        <v>17067</v>
      </c>
      <c r="J32">
        <v>261.7</v>
      </c>
      <c r="K32">
        <f t="shared" si="0"/>
        <v>617</v>
      </c>
    </row>
    <row r="33" spans="1:11" x14ac:dyDescent="0.3">
      <c r="A33" s="2">
        <v>44652</v>
      </c>
      <c r="B33">
        <v>2022</v>
      </c>
      <c r="C33" t="s">
        <v>25</v>
      </c>
      <c r="D33" t="s">
        <v>22</v>
      </c>
      <c r="E33" t="s">
        <v>19</v>
      </c>
      <c r="F33">
        <v>5443.5</v>
      </c>
      <c r="G33">
        <v>183</v>
      </c>
      <c r="H33">
        <v>333</v>
      </c>
      <c r="I33">
        <v>22082</v>
      </c>
      <c r="J33">
        <v>1548.9</v>
      </c>
      <c r="K33">
        <f t="shared" si="0"/>
        <v>516</v>
      </c>
    </row>
    <row r="34" spans="1:11" x14ac:dyDescent="0.3">
      <c r="A34" s="2">
        <v>44682</v>
      </c>
      <c r="B34">
        <v>2022</v>
      </c>
      <c r="C34" t="s">
        <v>26</v>
      </c>
      <c r="D34" t="s">
        <v>11</v>
      </c>
      <c r="E34" t="s">
        <v>12</v>
      </c>
      <c r="F34">
        <v>1040.4000000000001</v>
      </c>
      <c r="G34">
        <v>551</v>
      </c>
      <c r="H34">
        <v>122</v>
      </c>
      <c r="I34">
        <v>2084</v>
      </c>
      <c r="J34">
        <v>1132</v>
      </c>
      <c r="K34">
        <f t="shared" si="0"/>
        <v>673</v>
      </c>
    </row>
    <row r="35" spans="1:11" x14ac:dyDescent="0.3">
      <c r="A35" s="2">
        <v>44682</v>
      </c>
      <c r="B35">
        <v>2022</v>
      </c>
      <c r="C35" t="s">
        <v>26</v>
      </c>
      <c r="D35" t="s">
        <v>13</v>
      </c>
      <c r="E35" t="s">
        <v>14</v>
      </c>
      <c r="F35">
        <v>3093.2</v>
      </c>
      <c r="G35">
        <v>501</v>
      </c>
      <c r="H35">
        <v>406</v>
      </c>
      <c r="I35">
        <v>10197</v>
      </c>
      <c r="J35">
        <v>1908.2</v>
      </c>
      <c r="K35">
        <f t="shared" si="0"/>
        <v>907</v>
      </c>
    </row>
    <row r="36" spans="1:11" x14ac:dyDescent="0.3">
      <c r="A36" s="2">
        <v>44682</v>
      </c>
      <c r="B36">
        <v>2022</v>
      </c>
      <c r="C36" t="s">
        <v>26</v>
      </c>
      <c r="D36" t="s">
        <v>15</v>
      </c>
      <c r="E36" t="s">
        <v>16</v>
      </c>
      <c r="F36">
        <v>2469.1999999999998</v>
      </c>
      <c r="G36">
        <v>318</v>
      </c>
      <c r="H36">
        <v>135</v>
      </c>
      <c r="I36">
        <v>28145</v>
      </c>
      <c r="J36">
        <v>371</v>
      </c>
      <c r="K36">
        <f t="shared" si="0"/>
        <v>453</v>
      </c>
    </row>
    <row r="37" spans="1:11" x14ac:dyDescent="0.3">
      <c r="A37" s="2">
        <v>44682</v>
      </c>
      <c r="B37">
        <v>2022</v>
      </c>
      <c r="C37" t="s">
        <v>26</v>
      </c>
      <c r="D37" t="s">
        <v>17</v>
      </c>
      <c r="E37" t="s">
        <v>14</v>
      </c>
      <c r="F37">
        <v>550.29999999999995</v>
      </c>
      <c r="G37">
        <v>272</v>
      </c>
      <c r="H37">
        <v>496</v>
      </c>
      <c r="I37">
        <v>26858</v>
      </c>
      <c r="J37">
        <v>1509.8</v>
      </c>
      <c r="K37">
        <f t="shared" si="0"/>
        <v>768</v>
      </c>
    </row>
    <row r="38" spans="1:11" x14ac:dyDescent="0.3">
      <c r="A38" s="2">
        <v>44682</v>
      </c>
      <c r="B38">
        <v>2022</v>
      </c>
      <c r="C38" t="s">
        <v>26</v>
      </c>
      <c r="D38" t="s">
        <v>18</v>
      </c>
      <c r="E38" t="s">
        <v>19</v>
      </c>
      <c r="F38">
        <v>7148.2</v>
      </c>
      <c r="G38">
        <v>538</v>
      </c>
      <c r="H38">
        <v>264</v>
      </c>
      <c r="I38">
        <v>10161</v>
      </c>
      <c r="J38">
        <v>1555.4</v>
      </c>
      <c r="K38">
        <f t="shared" si="0"/>
        <v>802</v>
      </c>
    </row>
    <row r="39" spans="1:11" x14ac:dyDescent="0.3">
      <c r="A39" s="2">
        <v>44682</v>
      </c>
      <c r="B39">
        <v>2022</v>
      </c>
      <c r="C39" t="s">
        <v>26</v>
      </c>
      <c r="D39" t="s">
        <v>20</v>
      </c>
      <c r="E39" t="s">
        <v>14</v>
      </c>
      <c r="F39">
        <v>5361</v>
      </c>
      <c r="G39">
        <v>236</v>
      </c>
      <c r="H39">
        <v>56</v>
      </c>
      <c r="I39">
        <v>22656</v>
      </c>
      <c r="J39">
        <v>561.79999999999995</v>
      </c>
      <c r="K39">
        <f t="shared" si="0"/>
        <v>292</v>
      </c>
    </row>
    <row r="40" spans="1:11" x14ac:dyDescent="0.3">
      <c r="A40" s="2">
        <v>44682</v>
      </c>
      <c r="B40">
        <v>2022</v>
      </c>
      <c r="C40" t="s">
        <v>26</v>
      </c>
      <c r="D40" t="s">
        <v>21</v>
      </c>
      <c r="E40" t="s">
        <v>19</v>
      </c>
      <c r="F40">
        <v>7507.1</v>
      </c>
      <c r="G40">
        <v>159</v>
      </c>
      <c r="H40">
        <v>70</v>
      </c>
      <c r="I40">
        <v>25102</v>
      </c>
      <c r="J40">
        <v>348.9</v>
      </c>
      <c r="K40">
        <f t="shared" si="0"/>
        <v>229</v>
      </c>
    </row>
    <row r="41" spans="1:11" x14ac:dyDescent="0.3">
      <c r="A41" s="2">
        <v>44682</v>
      </c>
      <c r="B41">
        <v>2022</v>
      </c>
      <c r="C41" t="s">
        <v>26</v>
      </c>
      <c r="D41" t="s">
        <v>22</v>
      </c>
      <c r="E41" t="s">
        <v>19</v>
      </c>
      <c r="F41">
        <v>1598.3</v>
      </c>
      <c r="G41">
        <v>367</v>
      </c>
      <c r="H41">
        <v>438</v>
      </c>
      <c r="I41">
        <v>6696</v>
      </c>
      <c r="J41">
        <v>655.1</v>
      </c>
      <c r="K41">
        <f t="shared" si="0"/>
        <v>805</v>
      </c>
    </row>
    <row r="42" spans="1:11" x14ac:dyDescent="0.3">
      <c r="A42" s="2">
        <v>44713</v>
      </c>
      <c r="B42">
        <v>2022</v>
      </c>
      <c r="C42" t="s">
        <v>27</v>
      </c>
      <c r="D42" t="s">
        <v>11</v>
      </c>
      <c r="E42" t="s">
        <v>12</v>
      </c>
      <c r="F42">
        <v>6263.8</v>
      </c>
      <c r="G42">
        <v>583</v>
      </c>
      <c r="H42">
        <v>255</v>
      </c>
      <c r="I42">
        <v>5173</v>
      </c>
      <c r="J42">
        <v>77.2</v>
      </c>
      <c r="K42">
        <f t="shared" si="0"/>
        <v>838</v>
      </c>
    </row>
    <row r="43" spans="1:11" x14ac:dyDescent="0.3">
      <c r="A43" s="2">
        <v>44713</v>
      </c>
      <c r="B43">
        <v>2022</v>
      </c>
      <c r="C43" t="s">
        <v>27</v>
      </c>
      <c r="D43" t="s">
        <v>13</v>
      </c>
      <c r="E43" t="s">
        <v>14</v>
      </c>
      <c r="F43">
        <v>1991.3</v>
      </c>
      <c r="G43">
        <v>96</v>
      </c>
      <c r="H43">
        <v>342</v>
      </c>
      <c r="I43">
        <v>4533</v>
      </c>
      <c r="J43">
        <v>1037.3</v>
      </c>
      <c r="K43">
        <f t="shared" si="0"/>
        <v>438</v>
      </c>
    </row>
    <row r="44" spans="1:11" x14ac:dyDescent="0.3">
      <c r="A44" s="2">
        <v>44713</v>
      </c>
      <c r="B44">
        <v>2022</v>
      </c>
      <c r="C44" t="s">
        <v>27</v>
      </c>
      <c r="D44" t="s">
        <v>15</v>
      </c>
      <c r="E44" t="s">
        <v>16</v>
      </c>
      <c r="F44">
        <v>5615.2</v>
      </c>
      <c r="G44">
        <v>357</v>
      </c>
      <c r="H44">
        <v>107</v>
      </c>
      <c r="I44">
        <v>24319</v>
      </c>
      <c r="J44">
        <v>1445</v>
      </c>
      <c r="K44">
        <f t="shared" si="0"/>
        <v>464</v>
      </c>
    </row>
    <row r="45" spans="1:11" x14ac:dyDescent="0.3">
      <c r="A45" s="2">
        <v>44713</v>
      </c>
      <c r="B45">
        <v>2022</v>
      </c>
      <c r="C45" t="s">
        <v>27</v>
      </c>
      <c r="D45" t="s">
        <v>17</v>
      </c>
      <c r="E45" t="s">
        <v>14</v>
      </c>
      <c r="F45">
        <v>5964.1</v>
      </c>
      <c r="G45">
        <v>96</v>
      </c>
      <c r="H45">
        <v>70</v>
      </c>
      <c r="I45">
        <v>27899</v>
      </c>
      <c r="J45">
        <v>825.3</v>
      </c>
      <c r="K45">
        <f t="shared" si="0"/>
        <v>166</v>
      </c>
    </row>
    <row r="46" spans="1:11" x14ac:dyDescent="0.3">
      <c r="A46" s="2">
        <v>44713</v>
      </c>
      <c r="B46">
        <v>2022</v>
      </c>
      <c r="C46" t="s">
        <v>27</v>
      </c>
      <c r="D46" t="s">
        <v>18</v>
      </c>
      <c r="E46" t="s">
        <v>19</v>
      </c>
      <c r="F46">
        <v>2547.4</v>
      </c>
      <c r="G46">
        <v>303</v>
      </c>
      <c r="H46">
        <v>334</v>
      </c>
      <c r="I46">
        <v>28713</v>
      </c>
      <c r="J46">
        <v>608.6</v>
      </c>
      <c r="K46">
        <f t="shared" si="0"/>
        <v>637</v>
      </c>
    </row>
    <row r="47" spans="1:11" x14ac:dyDescent="0.3">
      <c r="A47" s="2">
        <v>44713</v>
      </c>
      <c r="B47">
        <v>2022</v>
      </c>
      <c r="C47" t="s">
        <v>27</v>
      </c>
      <c r="D47" t="s">
        <v>20</v>
      </c>
      <c r="E47" t="s">
        <v>14</v>
      </c>
      <c r="F47">
        <v>7413.5</v>
      </c>
      <c r="G47">
        <v>34</v>
      </c>
      <c r="H47">
        <v>282</v>
      </c>
      <c r="I47">
        <v>19385</v>
      </c>
      <c r="J47">
        <v>256.5</v>
      </c>
      <c r="K47">
        <f t="shared" si="0"/>
        <v>316</v>
      </c>
    </row>
    <row r="48" spans="1:11" x14ac:dyDescent="0.3">
      <c r="A48" s="2">
        <v>44713</v>
      </c>
      <c r="B48">
        <v>2022</v>
      </c>
      <c r="C48" t="s">
        <v>27</v>
      </c>
      <c r="D48" t="s">
        <v>21</v>
      </c>
      <c r="E48" t="s">
        <v>19</v>
      </c>
      <c r="F48">
        <v>1294.5999999999999</v>
      </c>
      <c r="G48">
        <v>263</v>
      </c>
      <c r="H48">
        <v>483</v>
      </c>
      <c r="I48">
        <v>18285</v>
      </c>
      <c r="J48">
        <v>1869.4</v>
      </c>
      <c r="K48">
        <f t="shared" si="0"/>
        <v>746</v>
      </c>
    </row>
    <row r="49" spans="1:11" x14ac:dyDescent="0.3">
      <c r="A49" s="2">
        <v>44713</v>
      </c>
      <c r="B49">
        <v>2022</v>
      </c>
      <c r="C49" t="s">
        <v>27</v>
      </c>
      <c r="D49" t="s">
        <v>22</v>
      </c>
      <c r="E49" t="s">
        <v>19</v>
      </c>
      <c r="F49">
        <v>6474</v>
      </c>
      <c r="G49">
        <v>291</v>
      </c>
      <c r="H49">
        <v>394</v>
      </c>
      <c r="I49">
        <v>1517</v>
      </c>
      <c r="J49">
        <v>262.8</v>
      </c>
      <c r="K49">
        <f t="shared" si="0"/>
        <v>685</v>
      </c>
    </row>
    <row r="50" spans="1:11" x14ac:dyDescent="0.3">
      <c r="A50" s="2">
        <v>44743</v>
      </c>
      <c r="B50">
        <v>2022</v>
      </c>
      <c r="C50" t="s">
        <v>28</v>
      </c>
      <c r="D50" t="s">
        <v>11</v>
      </c>
      <c r="E50" t="s">
        <v>12</v>
      </c>
      <c r="F50">
        <v>6669.5</v>
      </c>
      <c r="G50">
        <v>482</v>
      </c>
      <c r="H50">
        <v>123</v>
      </c>
      <c r="I50">
        <v>16392</v>
      </c>
      <c r="J50">
        <v>1231.7</v>
      </c>
      <c r="K50">
        <f t="shared" si="0"/>
        <v>605</v>
      </c>
    </row>
    <row r="51" spans="1:11" x14ac:dyDescent="0.3">
      <c r="A51" s="2">
        <v>44743</v>
      </c>
      <c r="B51">
        <v>2022</v>
      </c>
      <c r="C51" t="s">
        <v>28</v>
      </c>
      <c r="D51" t="s">
        <v>13</v>
      </c>
      <c r="E51" t="s">
        <v>14</v>
      </c>
      <c r="F51">
        <v>6968.4</v>
      </c>
      <c r="G51">
        <v>369</v>
      </c>
      <c r="H51">
        <v>212</v>
      </c>
      <c r="I51">
        <v>11851</v>
      </c>
      <c r="J51">
        <v>880.5</v>
      </c>
      <c r="K51">
        <f t="shared" si="0"/>
        <v>581</v>
      </c>
    </row>
    <row r="52" spans="1:11" x14ac:dyDescent="0.3">
      <c r="A52" s="2">
        <v>44743</v>
      </c>
      <c r="B52">
        <v>2022</v>
      </c>
      <c r="C52" t="s">
        <v>28</v>
      </c>
      <c r="D52" t="s">
        <v>15</v>
      </c>
      <c r="E52" t="s">
        <v>16</v>
      </c>
      <c r="F52">
        <v>5285.1</v>
      </c>
      <c r="G52">
        <v>523</v>
      </c>
      <c r="H52">
        <v>232</v>
      </c>
      <c r="I52">
        <v>8187</v>
      </c>
      <c r="J52">
        <v>511.5</v>
      </c>
      <c r="K52">
        <f t="shared" si="0"/>
        <v>755</v>
      </c>
    </row>
    <row r="53" spans="1:11" x14ac:dyDescent="0.3">
      <c r="A53" s="2">
        <v>44743</v>
      </c>
      <c r="B53">
        <v>2022</v>
      </c>
      <c r="C53" t="s">
        <v>28</v>
      </c>
      <c r="D53" t="s">
        <v>17</v>
      </c>
      <c r="E53" t="s">
        <v>14</v>
      </c>
      <c r="F53">
        <v>6018.9</v>
      </c>
      <c r="G53">
        <v>493</v>
      </c>
      <c r="H53">
        <v>61</v>
      </c>
      <c r="I53">
        <v>2930</v>
      </c>
      <c r="J53">
        <v>1209.0999999999999</v>
      </c>
      <c r="K53">
        <f t="shared" si="0"/>
        <v>554</v>
      </c>
    </row>
    <row r="54" spans="1:11" x14ac:dyDescent="0.3">
      <c r="A54" s="2">
        <v>44743</v>
      </c>
      <c r="B54">
        <v>2022</v>
      </c>
      <c r="C54" t="s">
        <v>28</v>
      </c>
      <c r="D54" t="s">
        <v>18</v>
      </c>
      <c r="E54" t="s">
        <v>19</v>
      </c>
      <c r="F54">
        <v>1340.2</v>
      </c>
      <c r="G54">
        <v>498</v>
      </c>
      <c r="H54">
        <v>162</v>
      </c>
      <c r="I54">
        <v>5172</v>
      </c>
      <c r="J54">
        <v>1845.9</v>
      </c>
      <c r="K54">
        <f t="shared" si="0"/>
        <v>660</v>
      </c>
    </row>
    <row r="55" spans="1:11" x14ac:dyDescent="0.3">
      <c r="A55" s="2">
        <v>44743</v>
      </c>
      <c r="B55">
        <v>2022</v>
      </c>
      <c r="C55" t="s">
        <v>28</v>
      </c>
      <c r="D55" t="s">
        <v>20</v>
      </c>
      <c r="E55" t="s">
        <v>14</v>
      </c>
      <c r="F55">
        <v>1491.1</v>
      </c>
      <c r="G55">
        <v>185</v>
      </c>
      <c r="H55">
        <v>85</v>
      </c>
      <c r="I55">
        <v>4349</v>
      </c>
      <c r="J55">
        <v>91.2</v>
      </c>
      <c r="K55">
        <f t="shared" si="0"/>
        <v>270</v>
      </c>
    </row>
    <row r="56" spans="1:11" x14ac:dyDescent="0.3">
      <c r="A56" s="2">
        <v>44743</v>
      </c>
      <c r="B56">
        <v>2022</v>
      </c>
      <c r="C56" t="s">
        <v>28</v>
      </c>
      <c r="D56" t="s">
        <v>21</v>
      </c>
      <c r="E56" t="s">
        <v>19</v>
      </c>
      <c r="F56">
        <v>632.1</v>
      </c>
      <c r="G56">
        <v>121</v>
      </c>
      <c r="H56">
        <v>36</v>
      </c>
      <c r="I56">
        <v>18143</v>
      </c>
      <c r="J56">
        <v>1377.4</v>
      </c>
      <c r="K56">
        <f t="shared" si="0"/>
        <v>157</v>
      </c>
    </row>
    <row r="57" spans="1:11" x14ac:dyDescent="0.3">
      <c r="A57" s="2">
        <v>44743</v>
      </c>
      <c r="B57">
        <v>2022</v>
      </c>
      <c r="C57" t="s">
        <v>28</v>
      </c>
      <c r="D57" t="s">
        <v>22</v>
      </c>
      <c r="E57" t="s">
        <v>19</v>
      </c>
      <c r="F57">
        <v>3270.3</v>
      </c>
      <c r="G57">
        <v>204</v>
      </c>
      <c r="H57">
        <v>257</v>
      </c>
      <c r="I57">
        <v>26375</v>
      </c>
      <c r="J57">
        <v>1709.7</v>
      </c>
      <c r="K57">
        <f t="shared" si="0"/>
        <v>461</v>
      </c>
    </row>
    <row r="58" spans="1:11" x14ac:dyDescent="0.3">
      <c r="A58" s="2">
        <v>44774</v>
      </c>
      <c r="B58">
        <v>2022</v>
      </c>
      <c r="C58" t="s">
        <v>29</v>
      </c>
      <c r="D58" t="s">
        <v>11</v>
      </c>
      <c r="E58" t="s">
        <v>12</v>
      </c>
      <c r="F58">
        <v>539.1</v>
      </c>
      <c r="G58">
        <v>125</v>
      </c>
      <c r="H58">
        <v>126</v>
      </c>
      <c r="I58">
        <v>8232</v>
      </c>
      <c r="J58">
        <v>1163.9000000000001</v>
      </c>
      <c r="K58">
        <f t="shared" si="0"/>
        <v>251</v>
      </c>
    </row>
    <row r="59" spans="1:11" x14ac:dyDescent="0.3">
      <c r="A59" s="2">
        <v>44774</v>
      </c>
      <c r="B59">
        <v>2022</v>
      </c>
      <c r="C59" t="s">
        <v>29</v>
      </c>
      <c r="D59" t="s">
        <v>13</v>
      </c>
      <c r="E59" t="s">
        <v>14</v>
      </c>
      <c r="F59">
        <v>3446.8</v>
      </c>
      <c r="G59">
        <v>48</v>
      </c>
      <c r="H59">
        <v>193</v>
      </c>
      <c r="I59">
        <v>16188</v>
      </c>
      <c r="J59">
        <v>248.3</v>
      </c>
      <c r="K59">
        <f t="shared" si="0"/>
        <v>241</v>
      </c>
    </row>
    <row r="60" spans="1:11" x14ac:dyDescent="0.3">
      <c r="A60" s="2">
        <v>44774</v>
      </c>
      <c r="B60">
        <v>2022</v>
      </c>
      <c r="C60" t="s">
        <v>29</v>
      </c>
      <c r="D60" t="s">
        <v>15</v>
      </c>
      <c r="E60" t="s">
        <v>16</v>
      </c>
      <c r="F60">
        <v>6701</v>
      </c>
      <c r="G60">
        <v>50</v>
      </c>
      <c r="H60">
        <v>463</v>
      </c>
      <c r="I60">
        <v>3874</v>
      </c>
      <c r="J60">
        <v>1695</v>
      </c>
      <c r="K60">
        <f t="shared" si="0"/>
        <v>513</v>
      </c>
    </row>
    <row r="61" spans="1:11" x14ac:dyDescent="0.3">
      <c r="A61" s="2">
        <v>44774</v>
      </c>
      <c r="B61">
        <v>2022</v>
      </c>
      <c r="C61" t="s">
        <v>29</v>
      </c>
      <c r="D61" t="s">
        <v>17</v>
      </c>
      <c r="E61" t="s">
        <v>14</v>
      </c>
      <c r="F61">
        <v>7240.7</v>
      </c>
      <c r="G61">
        <v>588</v>
      </c>
      <c r="H61">
        <v>402</v>
      </c>
      <c r="I61">
        <v>23604</v>
      </c>
      <c r="J61">
        <v>1302.8</v>
      </c>
      <c r="K61">
        <f t="shared" si="0"/>
        <v>990</v>
      </c>
    </row>
    <row r="62" spans="1:11" x14ac:dyDescent="0.3">
      <c r="A62" s="2">
        <v>44774</v>
      </c>
      <c r="B62">
        <v>2022</v>
      </c>
      <c r="C62" t="s">
        <v>29</v>
      </c>
      <c r="D62" t="s">
        <v>18</v>
      </c>
      <c r="E62" t="s">
        <v>19</v>
      </c>
      <c r="F62">
        <v>6276.2</v>
      </c>
      <c r="G62">
        <v>98</v>
      </c>
      <c r="H62">
        <v>272</v>
      </c>
      <c r="I62">
        <v>15912</v>
      </c>
      <c r="J62">
        <v>1722.3</v>
      </c>
      <c r="K62">
        <f t="shared" si="0"/>
        <v>370</v>
      </c>
    </row>
    <row r="63" spans="1:11" x14ac:dyDescent="0.3">
      <c r="A63" s="2">
        <v>44774</v>
      </c>
      <c r="B63">
        <v>2022</v>
      </c>
      <c r="C63" t="s">
        <v>29</v>
      </c>
      <c r="D63" t="s">
        <v>20</v>
      </c>
      <c r="E63" t="s">
        <v>14</v>
      </c>
      <c r="F63">
        <v>3809.8</v>
      </c>
      <c r="G63">
        <v>243</v>
      </c>
      <c r="H63">
        <v>323</v>
      </c>
      <c r="I63">
        <v>8727</v>
      </c>
      <c r="J63">
        <v>322.5</v>
      </c>
      <c r="K63">
        <f t="shared" si="0"/>
        <v>566</v>
      </c>
    </row>
    <row r="64" spans="1:11" x14ac:dyDescent="0.3">
      <c r="A64" s="2">
        <v>44774</v>
      </c>
      <c r="B64">
        <v>2022</v>
      </c>
      <c r="C64" t="s">
        <v>29</v>
      </c>
      <c r="D64" t="s">
        <v>21</v>
      </c>
      <c r="E64" t="s">
        <v>19</v>
      </c>
      <c r="F64">
        <v>3927.4</v>
      </c>
      <c r="G64">
        <v>261</v>
      </c>
      <c r="H64">
        <v>123</v>
      </c>
      <c r="I64">
        <v>11657</v>
      </c>
      <c r="J64">
        <v>764.5</v>
      </c>
      <c r="K64">
        <f t="shared" si="0"/>
        <v>384</v>
      </c>
    </row>
    <row r="65" spans="1:11" x14ac:dyDescent="0.3">
      <c r="A65" s="2">
        <v>44774</v>
      </c>
      <c r="B65">
        <v>2022</v>
      </c>
      <c r="C65" t="s">
        <v>29</v>
      </c>
      <c r="D65" t="s">
        <v>22</v>
      </c>
      <c r="E65" t="s">
        <v>19</v>
      </c>
      <c r="F65">
        <v>2754.5</v>
      </c>
      <c r="G65">
        <v>240</v>
      </c>
      <c r="H65">
        <v>346</v>
      </c>
      <c r="I65">
        <v>9609</v>
      </c>
      <c r="J65">
        <v>1900.3</v>
      </c>
      <c r="K65">
        <f t="shared" si="0"/>
        <v>586</v>
      </c>
    </row>
    <row r="66" spans="1:11" x14ac:dyDescent="0.3">
      <c r="A66" s="2">
        <v>44805</v>
      </c>
      <c r="B66">
        <v>2022</v>
      </c>
      <c r="C66" t="s">
        <v>30</v>
      </c>
      <c r="D66" t="s">
        <v>11</v>
      </c>
      <c r="E66" t="s">
        <v>12</v>
      </c>
      <c r="F66">
        <v>7347.5</v>
      </c>
      <c r="G66">
        <v>298</v>
      </c>
      <c r="H66">
        <v>170</v>
      </c>
      <c r="I66">
        <v>16527</v>
      </c>
      <c r="J66">
        <v>1704.7</v>
      </c>
      <c r="K66">
        <f t="shared" si="0"/>
        <v>468</v>
      </c>
    </row>
    <row r="67" spans="1:11" x14ac:dyDescent="0.3">
      <c r="A67" s="2">
        <v>44805</v>
      </c>
      <c r="B67">
        <v>2022</v>
      </c>
      <c r="C67" t="s">
        <v>30</v>
      </c>
      <c r="D67" t="s">
        <v>13</v>
      </c>
      <c r="E67" t="s">
        <v>14</v>
      </c>
      <c r="F67">
        <v>5290.2</v>
      </c>
      <c r="G67">
        <v>486</v>
      </c>
      <c r="H67">
        <v>271</v>
      </c>
      <c r="I67">
        <v>19354</v>
      </c>
      <c r="J67">
        <v>611.9</v>
      </c>
      <c r="K67">
        <f t="shared" ref="K67:K130" si="1">(G67+H67)</f>
        <v>757</v>
      </c>
    </row>
    <row r="68" spans="1:11" x14ac:dyDescent="0.3">
      <c r="A68" s="2">
        <v>44805</v>
      </c>
      <c r="B68">
        <v>2022</v>
      </c>
      <c r="C68" t="s">
        <v>30</v>
      </c>
      <c r="D68" t="s">
        <v>15</v>
      </c>
      <c r="E68" t="s">
        <v>16</v>
      </c>
      <c r="F68">
        <v>5932.2</v>
      </c>
      <c r="G68">
        <v>137</v>
      </c>
      <c r="H68">
        <v>350</v>
      </c>
      <c r="I68">
        <v>25960</v>
      </c>
      <c r="J68">
        <v>307.60000000000002</v>
      </c>
      <c r="K68">
        <f t="shared" si="1"/>
        <v>487</v>
      </c>
    </row>
    <row r="69" spans="1:11" x14ac:dyDescent="0.3">
      <c r="A69" s="2">
        <v>44805</v>
      </c>
      <c r="B69">
        <v>2022</v>
      </c>
      <c r="C69" t="s">
        <v>30</v>
      </c>
      <c r="D69" t="s">
        <v>17</v>
      </c>
      <c r="E69" t="s">
        <v>14</v>
      </c>
      <c r="F69">
        <v>4992.2</v>
      </c>
      <c r="G69">
        <v>75</v>
      </c>
      <c r="H69">
        <v>365</v>
      </c>
      <c r="I69">
        <v>3450</v>
      </c>
      <c r="J69">
        <v>1875.1</v>
      </c>
      <c r="K69">
        <f t="shared" si="1"/>
        <v>440</v>
      </c>
    </row>
    <row r="70" spans="1:11" x14ac:dyDescent="0.3">
      <c r="A70" s="2">
        <v>44805</v>
      </c>
      <c r="B70">
        <v>2022</v>
      </c>
      <c r="C70" t="s">
        <v>30</v>
      </c>
      <c r="D70" t="s">
        <v>18</v>
      </c>
      <c r="E70" t="s">
        <v>19</v>
      </c>
      <c r="F70">
        <v>1271.8</v>
      </c>
      <c r="G70">
        <v>576</v>
      </c>
      <c r="H70">
        <v>402</v>
      </c>
      <c r="I70">
        <v>18216</v>
      </c>
      <c r="J70">
        <v>1576.1</v>
      </c>
      <c r="K70">
        <f t="shared" si="1"/>
        <v>978</v>
      </c>
    </row>
    <row r="71" spans="1:11" x14ac:dyDescent="0.3">
      <c r="A71" s="2">
        <v>44805</v>
      </c>
      <c r="B71">
        <v>2022</v>
      </c>
      <c r="C71" t="s">
        <v>30</v>
      </c>
      <c r="D71" t="s">
        <v>20</v>
      </c>
      <c r="E71" t="s">
        <v>14</v>
      </c>
      <c r="F71">
        <v>6401.9</v>
      </c>
      <c r="G71">
        <v>568</v>
      </c>
      <c r="H71">
        <v>134</v>
      </c>
      <c r="I71">
        <v>18112</v>
      </c>
      <c r="J71">
        <v>235.3</v>
      </c>
      <c r="K71">
        <f t="shared" si="1"/>
        <v>702</v>
      </c>
    </row>
    <row r="72" spans="1:11" x14ac:dyDescent="0.3">
      <c r="A72" s="2">
        <v>44805</v>
      </c>
      <c r="B72">
        <v>2022</v>
      </c>
      <c r="C72" t="s">
        <v>30</v>
      </c>
      <c r="D72" t="s">
        <v>21</v>
      </c>
      <c r="E72" t="s">
        <v>19</v>
      </c>
      <c r="F72">
        <v>5006.1000000000004</v>
      </c>
      <c r="G72">
        <v>119</v>
      </c>
      <c r="H72">
        <v>286</v>
      </c>
      <c r="I72">
        <v>17600</v>
      </c>
      <c r="J72">
        <v>958.7</v>
      </c>
      <c r="K72">
        <f t="shared" si="1"/>
        <v>405</v>
      </c>
    </row>
    <row r="73" spans="1:11" x14ac:dyDescent="0.3">
      <c r="A73" s="2">
        <v>44805</v>
      </c>
      <c r="B73">
        <v>2022</v>
      </c>
      <c r="C73" t="s">
        <v>30</v>
      </c>
      <c r="D73" t="s">
        <v>22</v>
      </c>
      <c r="E73" t="s">
        <v>19</v>
      </c>
      <c r="F73">
        <v>4276.5</v>
      </c>
      <c r="G73">
        <v>463</v>
      </c>
      <c r="H73">
        <v>401</v>
      </c>
      <c r="I73">
        <v>15272</v>
      </c>
      <c r="J73">
        <v>1219.2</v>
      </c>
      <c r="K73">
        <f t="shared" si="1"/>
        <v>864</v>
      </c>
    </row>
    <row r="74" spans="1:11" x14ac:dyDescent="0.3">
      <c r="A74" s="2">
        <v>44835</v>
      </c>
      <c r="B74">
        <v>2022</v>
      </c>
      <c r="C74" t="s">
        <v>31</v>
      </c>
      <c r="D74" t="s">
        <v>11</v>
      </c>
      <c r="E74" t="s">
        <v>12</v>
      </c>
      <c r="F74">
        <v>7463.6</v>
      </c>
      <c r="G74">
        <v>89</v>
      </c>
      <c r="H74">
        <v>67</v>
      </c>
      <c r="I74">
        <v>3543</v>
      </c>
      <c r="J74">
        <v>1332.8</v>
      </c>
      <c r="K74">
        <f t="shared" si="1"/>
        <v>156</v>
      </c>
    </row>
    <row r="75" spans="1:11" x14ac:dyDescent="0.3">
      <c r="A75" s="2">
        <v>44835</v>
      </c>
      <c r="B75">
        <v>2022</v>
      </c>
      <c r="C75" t="s">
        <v>31</v>
      </c>
      <c r="D75" t="s">
        <v>13</v>
      </c>
      <c r="E75" t="s">
        <v>14</v>
      </c>
      <c r="F75">
        <v>3465.1</v>
      </c>
      <c r="G75">
        <v>469</v>
      </c>
      <c r="H75">
        <v>338</v>
      </c>
      <c r="I75">
        <v>10675</v>
      </c>
      <c r="J75">
        <v>1801.8</v>
      </c>
      <c r="K75">
        <f t="shared" si="1"/>
        <v>807</v>
      </c>
    </row>
    <row r="76" spans="1:11" x14ac:dyDescent="0.3">
      <c r="A76" s="2">
        <v>44835</v>
      </c>
      <c r="B76">
        <v>2022</v>
      </c>
      <c r="C76" t="s">
        <v>31</v>
      </c>
      <c r="D76" t="s">
        <v>15</v>
      </c>
      <c r="E76" t="s">
        <v>16</v>
      </c>
      <c r="F76">
        <v>6147.8</v>
      </c>
      <c r="G76">
        <v>176</v>
      </c>
      <c r="H76">
        <v>188</v>
      </c>
      <c r="I76">
        <v>10118</v>
      </c>
      <c r="J76">
        <v>357.3</v>
      </c>
      <c r="K76">
        <f t="shared" si="1"/>
        <v>364</v>
      </c>
    </row>
    <row r="77" spans="1:11" x14ac:dyDescent="0.3">
      <c r="A77" s="2">
        <v>44835</v>
      </c>
      <c r="B77">
        <v>2022</v>
      </c>
      <c r="C77" t="s">
        <v>31</v>
      </c>
      <c r="D77" t="s">
        <v>17</v>
      </c>
      <c r="E77" t="s">
        <v>14</v>
      </c>
      <c r="F77">
        <v>1352.7</v>
      </c>
      <c r="G77">
        <v>562</v>
      </c>
      <c r="H77">
        <v>224</v>
      </c>
      <c r="I77">
        <v>12116</v>
      </c>
      <c r="J77">
        <v>1472.9</v>
      </c>
      <c r="K77">
        <f t="shared" si="1"/>
        <v>786</v>
      </c>
    </row>
    <row r="78" spans="1:11" x14ac:dyDescent="0.3">
      <c r="A78" s="2">
        <v>44835</v>
      </c>
      <c r="B78">
        <v>2022</v>
      </c>
      <c r="C78" t="s">
        <v>31</v>
      </c>
      <c r="D78" t="s">
        <v>18</v>
      </c>
      <c r="E78" t="s">
        <v>19</v>
      </c>
      <c r="F78">
        <v>4513.3</v>
      </c>
      <c r="G78">
        <v>562</v>
      </c>
      <c r="H78">
        <v>392</v>
      </c>
      <c r="I78">
        <v>14901</v>
      </c>
      <c r="J78">
        <v>783.9</v>
      </c>
      <c r="K78">
        <f t="shared" si="1"/>
        <v>954</v>
      </c>
    </row>
    <row r="79" spans="1:11" x14ac:dyDescent="0.3">
      <c r="A79" s="2">
        <v>44835</v>
      </c>
      <c r="B79">
        <v>2022</v>
      </c>
      <c r="C79" t="s">
        <v>31</v>
      </c>
      <c r="D79" t="s">
        <v>20</v>
      </c>
      <c r="E79" t="s">
        <v>14</v>
      </c>
      <c r="F79">
        <v>7895.7</v>
      </c>
      <c r="G79">
        <v>436</v>
      </c>
      <c r="H79">
        <v>476</v>
      </c>
      <c r="I79">
        <v>4435</v>
      </c>
      <c r="J79">
        <v>1708.5</v>
      </c>
      <c r="K79">
        <f t="shared" si="1"/>
        <v>912</v>
      </c>
    </row>
    <row r="80" spans="1:11" x14ac:dyDescent="0.3">
      <c r="A80" s="2">
        <v>44835</v>
      </c>
      <c r="B80">
        <v>2022</v>
      </c>
      <c r="C80" t="s">
        <v>31</v>
      </c>
      <c r="D80" t="s">
        <v>21</v>
      </c>
      <c r="E80" t="s">
        <v>19</v>
      </c>
      <c r="F80">
        <v>5169.2</v>
      </c>
      <c r="G80">
        <v>90</v>
      </c>
      <c r="H80">
        <v>298</v>
      </c>
      <c r="I80">
        <v>20896</v>
      </c>
      <c r="J80">
        <v>74</v>
      </c>
      <c r="K80">
        <f t="shared" si="1"/>
        <v>388</v>
      </c>
    </row>
    <row r="81" spans="1:11" x14ac:dyDescent="0.3">
      <c r="A81" s="2">
        <v>44835</v>
      </c>
      <c r="B81">
        <v>2022</v>
      </c>
      <c r="C81" t="s">
        <v>31</v>
      </c>
      <c r="D81" t="s">
        <v>22</v>
      </c>
      <c r="E81" t="s">
        <v>19</v>
      </c>
      <c r="F81">
        <v>3743.7</v>
      </c>
      <c r="G81">
        <v>498</v>
      </c>
      <c r="H81">
        <v>154</v>
      </c>
      <c r="I81">
        <v>14297</v>
      </c>
      <c r="J81">
        <v>912.5</v>
      </c>
      <c r="K81">
        <f t="shared" si="1"/>
        <v>652</v>
      </c>
    </row>
    <row r="82" spans="1:11" x14ac:dyDescent="0.3">
      <c r="A82" s="2">
        <v>44866</v>
      </c>
      <c r="B82">
        <v>2022</v>
      </c>
      <c r="C82" t="s">
        <v>32</v>
      </c>
      <c r="D82" t="s">
        <v>11</v>
      </c>
      <c r="E82" t="s">
        <v>12</v>
      </c>
      <c r="F82">
        <v>2555</v>
      </c>
      <c r="G82">
        <v>552</v>
      </c>
      <c r="H82">
        <v>392</v>
      </c>
      <c r="I82">
        <v>4207</v>
      </c>
      <c r="J82">
        <v>1994.2</v>
      </c>
      <c r="K82">
        <f t="shared" si="1"/>
        <v>944</v>
      </c>
    </row>
    <row r="83" spans="1:11" x14ac:dyDescent="0.3">
      <c r="A83" s="2">
        <v>44866</v>
      </c>
      <c r="B83">
        <v>2022</v>
      </c>
      <c r="C83" t="s">
        <v>32</v>
      </c>
      <c r="D83" t="s">
        <v>13</v>
      </c>
      <c r="E83" t="s">
        <v>14</v>
      </c>
      <c r="F83">
        <v>7057.8</v>
      </c>
      <c r="G83">
        <v>184</v>
      </c>
      <c r="H83">
        <v>420</v>
      </c>
      <c r="I83">
        <v>4086</v>
      </c>
      <c r="J83">
        <v>1998.3</v>
      </c>
      <c r="K83">
        <f t="shared" si="1"/>
        <v>604</v>
      </c>
    </row>
    <row r="84" spans="1:11" x14ac:dyDescent="0.3">
      <c r="A84" s="2">
        <v>44866</v>
      </c>
      <c r="B84">
        <v>2022</v>
      </c>
      <c r="C84" t="s">
        <v>32</v>
      </c>
      <c r="D84" t="s">
        <v>15</v>
      </c>
      <c r="E84" t="s">
        <v>16</v>
      </c>
      <c r="F84">
        <v>5392.3</v>
      </c>
      <c r="G84">
        <v>397</v>
      </c>
      <c r="H84">
        <v>54</v>
      </c>
      <c r="I84">
        <v>27013</v>
      </c>
      <c r="J84">
        <v>106.5</v>
      </c>
      <c r="K84">
        <f t="shared" si="1"/>
        <v>451</v>
      </c>
    </row>
    <row r="85" spans="1:11" x14ac:dyDescent="0.3">
      <c r="A85" s="2">
        <v>44866</v>
      </c>
      <c r="B85">
        <v>2022</v>
      </c>
      <c r="C85" t="s">
        <v>32</v>
      </c>
      <c r="D85" t="s">
        <v>17</v>
      </c>
      <c r="E85" t="s">
        <v>14</v>
      </c>
      <c r="F85">
        <v>2078.5</v>
      </c>
      <c r="G85">
        <v>102</v>
      </c>
      <c r="H85">
        <v>390</v>
      </c>
      <c r="I85">
        <v>6747</v>
      </c>
      <c r="J85">
        <v>1825.7</v>
      </c>
      <c r="K85">
        <f t="shared" si="1"/>
        <v>492</v>
      </c>
    </row>
    <row r="86" spans="1:11" x14ac:dyDescent="0.3">
      <c r="A86" s="2">
        <v>44866</v>
      </c>
      <c r="B86">
        <v>2022</v>
      </c>
      <c r="C86" t="s">
        <v>32</v>
      </c>
      <c r="D86" t="s">
        <v>18</v>
      </c>
      <c r="E86" t="s">
        <v>19</v>
      </c>
      <c r="F86">
        <v>5318.9</v>
      </c>
      <c r="G86">
        <v>40</v>
      </c>
      <c r="H86">
        <v>12</v>
      </c>
      <c r="I86">
        <v>2498</v>
      </c>
      <c r="J86">
        <v>1231.5999999999999</v>
      </c>
      <c r="K86">
        <f t="shared" si="1"/>
        <v>52</v>
      </c>
    </row>
    <row r="87" spans="1:11" x14ac:dyDescent="0.3">
      <c r="A87" s="2">
        <v>44866</v>
      </c>
      <c r="B87">
        <v>2022</v>
      </c>
      <c r="C87" t="s">
        <v>32</v>
      </c>
      <c r="D87" t="s">
        <v>20</v>
      </c>
      <c r="E87" t="s">
        <v>14</v>
      </c>
      <c r="F87">
        <v>6451.6</v>
      </c>
      <c r="G87">
        <v>158</v>
      </c>
      <c r="H87">
        <v>426</v>
      </c>
      <c r="I87">
        <v>2659</v>
      </c>
      <c r="J87">
        <v>1611.9</v>
      </c>
      <c r="K87">
        <f t="shared" si="1"/>
        <v>584</v>
      </c>
    </row>
    <row r="88" spans="1:11" x14ac:dyDescent="0.3">
      <c r="A88" s="2">
        <v>44866</v>
      </c>
      <c r="B88">
        <v>2022</v>
      </c>
      <c r="C88" t="s">
        <v>32</v>
      </c>
      <c r="D88" t="s">
        <v>21</v>
      </c>
      <c r="E88" t="s">
        <v>19</v>
      </c>
      <c r="F88">
        <v>7436.8</v>
      </c>
      <c r="G88">
        <v>467</v>
      </c>
      <c r="H88">
        <v>352</v>
      </c>
      <c r="I88">
        <v>25301</v>
      </c>
      <c r="J88">
        <v>128.30000000000001</v>
      </c>
      <c r="K88">
        <f t="shared" si="1"/>
        <v>819</v>
      </c>
    </row>
    <row r="89" spans="1:11" x14ac:dyDescent="0.3">
      <c r="A89" s="2">
        <v>44866</v>
      </c>
      <c r="B89">
        <v>2022</v>
      </c>
      <c r="C89" t="s">
        <v>32</v>
      </c>
      <c r="D89" t="s">
        <v>22</v>
      </c>
      <c r="E89" t="s">
        <v>19</v>
      </c>
      <c r="F89">
        <v>1773.9</v>
      </c>
      <c r="G89">
        <v>92</v>
      </c>
      <c r="H89">
        <v>257</v>
      </c>
      <c r="I89">
        <v>22610</v>
      </c>
      <c r="J89">
        <v>1278.5</v>
      </c>
      <c r="K89">
        <f t="shared" si="1"/>
        <v>349</v>
      </c>
    </row>
    <row r="90" spans="1:11" x14ac:dyDescent="0.3">
      <c r="A90" s="2">
        <v>44896</v>
      </c>
      <c r="B90">
        <v>2022</v>
      </c>
      <c r="C90" t="s">
        <v>33</v>
      </c>
      <c r="D90" t="s">
        <v>11</v>
      </c>
      <c r="E90" t="s">
        <v>12</v>
      </c>
      <c r="F90">
        <v>6838.8</v>
      </c>
      <c r="G90">
        <v>110</v>
      </c>
      <c r="H90">
        <v>369</v>
      </c>
      <c r="I90">
        <v>6598</v>
      </c>
      <c r="J90">
        <v>578</v>
      </c>
      <c r="K90">
        <f t="shared" si="1"/>
        <v>479</v>
      </c>
    </row>
    <row r="91" spans="1:11" x14ac:dyDescent="0.3">
      <c r="A91" s="2">
        <v>44896</v>
      </c>
      <c r="B91">
        <v>2022</v>
      </c>
      <c r="C91" t="s">
        <v>33</v>
      </c>
      <c r="D91" t="s">
        <v>13</v>
      </c>
      <c r="E91" t="s">
        <v>14</v>
      </c>
      <c r="F91">
        <v>5737.3</v>
      </c>
      <c r="G91">
        <v>588</v>
      </c>
      <c r="H91">
        <v>309</v>
      </c>
      <c r="I91">
        <v>2580</v>
      </c>
      <c r="J91">
        <v>1251.8</v>
      </c>
      <c r="K91">
        <f t="shared" si="1"/>
        <v>897</v>
      </c>
    </row>
    <row r="92" spans="1:11" x14ac:dyDescent="0.3">
      <c r="A92" s="2">
        <v>44896</v>
      </c>
      <c r="B92">
        <v>2022</v>
      </c>
      <c r="C92" t="s">
        <v>33</v>
      </c>
      <c r="D92" t="s">
        <v>15</v>
      </c>
      <c r="E92" t="s">
        <v>16</v>
      </c>
      <c r="F92">
        <v>530.29999999999995</v>
      </c>
      <c r="G92">
        <v>532</v>
      </c>
      <c r="H92">
        <v>357</v>
      </c>
      <c r="I92">
        <v>6020</v>
      </c>
      <c r="J92">
        <v>228.9</v>
      </c>
      <c r="K92">
        <f t="shared" si="1"/>
        <v>889</v>
      </c>
    </row>
    <row r="93" spans="1:11" x14ac:dyDescent="0.3">
      <c r="A93" s="2">
        <v>44896</v>
      </c>
      <c r="B93">
        <v>2022</v>
      </c>
      <c r="C93" t="s">
        <v>33</v>
      </c>
      <c r="D93" t="s">
        <v>17</v>
      </c>
      <c r="E93" t="s">
        <v>14</v>
      </c>
      <c r="F93">
        <v>1631.6</v>
      </c>
      <c r="G93">
        <v>588</v>
      </c>
      <c r="H93">
        <v>234</v>
      </c>
      <c r="I93">
        <v>23738</v>
      </c>
      <c r="J93">
        <v>1291</v>
      </c>
      <c r="K93">
        <f t="shared" si="1"/>
        <v>822</v>
      </c>
    </row>
    <row r="94" spans="1:11" x14ac:dyDescent="0.3">
      <c r="A94" s="2">
        <v>44896</v>
      </c>
      <c r="B94">
        <v>2022</v>
      </c>
      <c r="C94" t="s">
        <v>33</v>
      </c>
      <c r="D94" t="s">
        <v>18</v>
      </c>
      <c r="E94" t="s">
        <v>19</v>
      </c>
      <c r="F94">
        <v>4664.8</v>
      </c>
      <c r="G94">
        <v>104</v>
      </c>
      <c r="H94">
        <v>473</v>
      </c>
      <c r="I94">
        <v>9738</v>
      </c>
      <c r="J94">
        <v>1177.0999999999999</v>
      </c>
      <c r="K94">
        <f t="shared" si="1"/>
        <v>577</v>
      </c>
    </row>
    <row r="95" spans="1:11" x14ac:dyDescent="0.3">
      <c r="A95" s="2">
        <v>44896</v>
      </c>
      <c r="B95">
        <v>2022</v>
      </c>
      <c r="C95" t="s">
        <v>33</v>
      </c>
      <c r="D95" t="s">
        <v>20</v>
      </c>
      <c r="E95" t="s">
        <v>14</v>
      </c>
      <c r="F95">
        <v>5658.3</v>
      </c>
      <c r="G95">
        <v>396</v>
      </c>
      <c r="H95">
        <v>470</v>
      </c>
      <c r="I95">
        <v>5304</v>
      </c>
      <c r="J95">
        <v>1041.3</v>
      </c>
      <c r="K95">
        <f t="shared" si="1"/>
        <v>866</v>
      </c>
    </row>
    <row r="96" spans="1:11" x14ac:dyDescent="0.3">
      <c r="A96" s="2">
        <v>44896</v>
      </c>
      <c r="B96">
        <v>2022</v>
      </c>
      <c r="C96" t="s">
        <v>33</v>
      </c>
      <c r="D96" t="s">
        <v>21</v>
      </c>
      <c r="E96" t="s">
        <v>19</v>
      </c>
      <c r="F96">
        <v>3351.5</v>
      </c>
      <c r="G96">
        <v>295</v>
      </c>
      <c r="H96">
        <v>68</v>
      </c>
      <c r="I96">
        <v>4888</v>
      </c>
      <c r="J96">
        <v>592.20000000000005</v>
      </c>
      <c r="K96">
        <f t="shared" si="1"/>
        <v>363</v>
      </c>
    </row>
    <row r="97" spans="1:11" x14ac:dyDescent="0.3">
      <c r="A97" s="2">
        <v>44896</v>
      </c>
      <c r="B97">
        <v>2022</v>
      </c>
      <c r="C97" t="s">
        <v>33</v>
      </c>
      <c r="D97" t="s">
        <v>22</v>
      </c>
      <c r="E97" t="s">
        <v>19</v>
      </c>
      <c r="F97">
        <v>2576.6999999999998</v>
      </c>
      <c r="G97">
        <v>268</v>
      </c>
      <c r="H97">
        <v>309</v>
      </c>
      <c r="I97">
        <v>19404</v>
      </c>
      <c r="J97">
        <v>853</v>
      </c>
      <c r="K97">
        <f t="shared" si="1"/>
        <v>577</v>
      </c>
    </row>
    <row r="98" spans="1:11" x14ac:dyDescent="0.3">
      <c r="A98" s="2">
        <v>44927</v>
      </c>
      <c r="B98">
        <v>2023</v>
      </c>
      <c r="C98" t="s">
        <v>10</v>
      </c>
      <c r="D98" t="s">
        <v>11</v>
      </c>
      <c r="E98" t="s">
        <v>12</v>
      </c>
      <c r="F98">
        <v>3388.5</v>
      </c>
      <c r="G98">
        <v>146</v>
      </c>
      <c r="H98">
        <v>298</v>
      </c>
      <c r="I98">
        <v>10194</v>
      </c>
      <c r="J98">
        <v>120.3</v>
      </c>
      <c r="K98">
        <f t="shared" si="1"/>
        <v>444</v>
      </c>
    </row>
    <row r="99" spans="1:11" x14ac:dyDescent="0.3">
      <c r="A99" s="2">
        <v>44927</v>
      </c>
      <c r="B99">
        <v>2023</v>
      </c>
      <c r="C99" t="s">
        <v>10</v>
      </c>
      <c r="D99" t="s">
        <v>13</v>
      </c>
      <c r="E99" t="s">
        <v>14</v>
      </c>
      <c r="F99">
        <v>3463.5</v>
      </c>
      <c r="G99">
        <v>294</v>
      </c>
      <c r="H99">
        <v>120</v>
      </c>
      <c r="I99">
        <v>17601</v>
      </c>
      <c r="J99">
        <v>1153.3</v>
      </c>
      <c r="K99">
        <f t="shared" si="1"/>
        <v>414</v>
      </c>
    </row>
    <row r="100" spans="1:11" x14ac:dyDescent="0.3">
      <c r="A100" s="2">
        <v>44927</v>
      </c>
      <c r="B100">
        <v>2023</v>
      </c>
      <c r="C100" t="s">
        <v>10</v>
      </c>
      <c r="D100" t="s">
        <v>15</v>
      </c>
      <c r="E100" t="s">
        <v>16</v>
      </c>
      <c r="F100">
        <v>5675.6</v>
      </c>
      <c r="G100">
        <v>395</v>
      </c>
      <c r="H100">
        <v>329</v>
      </c>
      <c r="I100">
        <v>10170</v>
      </c>
      <c r="J100">
        <v>1585.5</v>
      </c>
      <c r="K100">
        <f t="shared" si="1"/>
        <v>724</v>
      </c>
    </row>
    <row r="101" spans="1:11" x14ac:dyDescent="0.3">
      <c r="A101" s="2">
        <v>44927</v>
      </c>
      <c r="B101">
        <v>2023</v>
      </c>
      <c r="C101" t="s">
        <v>10</v>
      </c>
      <c r="D101" t="s">
        <v>17</v>
      </c>
      <c r="E101" t="s">
        <v>14</v>
      </c>
      <c r="F101">
        <v>4483.3</v>
      </c>
      <c r="G101">
        <v>270</v>
      </c>
      <c r="H101">
        <v>316</v>
      </c>
      <c r="I101">
        <v>11459</v>
      </c>
      <c r="J101">
        <v>1049.8</v>
      </c>
      <c r="K101">
        <f t="shared" si="1"/>
        <v>586</v>
      </c>
    </row>
    <row r="102" spans="1:11" x14ac:dyDescent="0.3">
      <c r="A102" s="2">
        <v>44927</v>
      </c>
      <c r="B102">
        <v>2023</v>
      </c>
      <c r="C102" t="s">
        <v>10</v>
      </c>
      <c r="D102" t="s">
        <v>18</v>
      </c>
      <c r="E102" t="s">
        <v>19</v>
      </c>
      <c r="F102">
        <v>5946.3</v>
      </c>
      <c r="G102">
        <v>534</v>
      </c>
      <c r="H102">
        <v>461</v>
      </c>
      <c r="I102">
        <v>15605</v>
      </c>
      <c r="J102">
        <v>1064.5</v>
      </c>
      <c r="K102">
        <f t="shared" si="1"/>
        <v>995</v>
      </c>
    </row>
    <row r="103" spans="1:11" x14ac:dyDescent="0.3">
      <c r="A103" s="2">
        <v>44927</v>
      </c>
      <c r="B103">
        <v>2023</v>
      </c>
      <c r="C103" t="s">
        <v>10</v>
      </c>
      <c r="D103" t="s">
        <v>20</v>
      </c>
      <c r="E103" t="s">
        <v>14</v>
      </c>
      <c r="F103">
        <v>6439</v>
      </c>
      <c r="G103">
        <v>202</v>
      </c>
      <c r="H103">
        <v>420</v>
      </c>
      <c r="I103">
        <v>15330</v>
      </c>
      <c r="J103">
        <v>275.89999999999998</v>
      </c>
      <c r="K103">
        <f t="shared" si="1"/>
        <v>622</v>
      </c>
    </row>
    <row r="104" spans="1:11" x14ac:dyDescent="0.3">
      <c r="A104" s="2">
        <v>44927</v>
      </c>
      <c r="B104">
        <v>2023</v>
      </c>
      <c r="C104" t="s">
        <v>10</v>
      </c>
      <c r="D104" t="s">
        <v>21</v>
      </c>
      <c r="E104" t="s">
        <v>19</v>
      </c>
      <c r="F104">
        <v>762.1</v>
      </c>
      <c r="G104">
        <v>508</v>
      </c>
      <c r="H104">
        <v>37</v>
      </c>
      <c r="I104">
        <v>9137</v>
      </c>
      <c r="J104">
        <v>701.6</v>
      </c>
      <c r="K104">
        <f t="shared" si="1"/>
        <v>545</v>
      </c>
    </row>
    <row r="105" spans="1:11" x14ac:dyDescent="0.3">
      <c r="A105" s="2">
        <v>44927</v>
      </c>
      <c r="B105">
        <v>2023</v>
      </c>
      <c r="C105" t="s">
        <v>10</v>
      </c>
      <c r="D105" t="s">
        <v>22</v>
      </c>
      <c r="E105" t="s">
        <v>19</v>
      </c>
      <c r="F105">
        <v>1549.4</v>
      </c>
      <c r="G105">
        <v>202</v>
      </c>
      <c r="H105">
        <v>373</v>
      </c>
      <c r="I105">
        <v>1425</v>
      </c>
      <c r="J105">
        <v>1663</v>
      </c>
      <c r="K105">
        <f t="shared" si="1"/>
        <v>575</v>
      </c>
    </row>
    <row r="106" spans="1:11" x14ac:dyDescent="0.3">
      <c r="A106" s="2">
        <v>44958</v>
      </c>
      <c r="B106">
        <v>2023</v>
      </c>
      <c r="C106" t="s">
        <v>23</v>
      </c>
      <c r="D106" t="s">
        <v>11</v>
      </c>
      <c r="E106" t="s">
        <v>12</v>
      </c>
      <c r="F106">
        <v>6881.1</v>
      </c>
      <c r="G106">
        <v>235</v>
      </c>
      <c r="H106">
        <v>85</v>
      </c>
      <c r="I106">
        <v>18424</v>
      </c>
      <c r="J106">
        <v>283.39999999999998</v>
      </c>
      <c r="K106">
        <f t="shared" si="1"/>
        <v>320</v>
      </c>
    </row>
    <row r="107" spans="1:11" x14ac:dyDescent="0.3">
      <c r="A107" s="2">
        <v>44958</v>
      </c>
      <c r="B107">
        <v>2023</v>
      </c>
      <c r="C107" t="s">
        <v>23</v>
      </c>
      <c r="D107" t="s">
        <v>13</v>
      </c>
      <c r="E107" t="s">
        <v>14</v>
      </c>
      <c r="F107">
        <v>3046.4</v>
      </c>
      <c r="G107">
        <v>575</v>
      </c>
      <c r="H107">
        <v>497</v>
      </c>
      <c r="I107">
        <v>23391</v>
      </c>
      <c r="J107">
        <v>656.4</v>
      </c>
      <c r="K107">
        <f t="shared" si="1"/>
        <v>1072</v>
      </c>
    </row>
    <row r="108" spans="1:11" x14ac:dyDescent="0.3">
      <c r="A108" s="2">
        <v>44958</v>
      </c>
      <c r="B108">
        <v>2023</v>
      </c>
      <c r="C108" t="s">
        <v>23</v>
      </c>
      <c r="D108" t="s">
        <v>15</v>
      </c>
      <c r="E108" t="s">
        <v>16</v>
      </c>
      <c r="F108">
        <v>5563.8</v>
      </c>
      <c r="G108">
        <v>429</v>
      </c>
      <c r="H108">
        <v>200</v>
      </c>
      <c r="I108">
        <v>19585</v>
      </c>
      <c r="J108">
        <v>70.900000000000006</v>
      </c>
      <c r="K108">
        <f t="shared" si="1"/>
        <v>629</v>
      </c>
    </row>
    <row r="109" spans="1:11" x14ac:dyDescent="0.3">
      <c r="A109" s="2">
        <v>44958</v>
      </c>
      <c r="B109">
        <v>2023</v>
      </c>
      <c r="C109" t="s">
        <v>23</v>
      </c>
      <c r="D109" t="s">
        <v>17</v>
      </c>
      <c r="E109" t="s">
        <v>14</v>
      </c>
      <c r="F109">
        <v>1830.6</v>
      </c>
      <c r="G109">
        <v>324</v>
      </c>
      <c r="H109">
        <v>90</v>
      </c>
      <c r="I109">
        <v>5811</v>
      </c>
      <c r="J109">
        <v>1680.8</v>
      </c>
      <c r="K109">
        <f t="shared" si="1"/>
        <v>414</v>
      </c>
    </row>
    <row r="110" spans="1:11" x14ac:dyDescent="0.3">
      <c r="A110" s="2">
        <v>44958</v>
      </c>
      <c r="B110">
        <v>2023</v>
      </c>
      <c r="C110" t="s">
        <v>23</v>
      </c>
      <c r="D110" t="s">
        <v>18</v>
      </c>
      <c r="E110" t="s">
        <v>19</v>
      </c>
      <c r="F110">
        <v>7915.2</v>
      </c>
      <c r="G110">
        <v>342</v>
      </c>
      <c r="H110">
        <v>421</v>
      </c>
      <c r="I110">
        <v>29719</v>
      </c>
      <c r="J110">
        <v>326.10000000000002</v>
      </c>
      <c r="K110">
        <f t="shared" si="1"/>
        <v>763</v>
      </c>
    </row>
    <row r="111" spans="1:11" x14ac:dyDescent="0.3">
      <c r="A111" s="2">
        <v>44958</v>
      </c>
      <c r="B111">
        <v>2023</v>
      </c>
      <c r="C111" t="s">
        <v>23</v>
      </c>
      <c r="D111" t="s">
        <v>20</v>
      </c>
      <c r="E111" t="s">
        <v>14</v>
      </c>
      <c r="F111">
        <v>3696.3</v>
      </c>
      <c r="G111">
        <v>247</v>
      </c>
      <c r="H111">
        <v>49</v>
      </c>
      <c r="I111">
        <v>22904</v>
      </c>
      <c r="J111">
        <v>895.9</v>
      </c>
      <c r="K111">
        <f t="shared" si="1"/>
        <v>296</v>
      </c>
    </row>
    <row r="112" spans="1:11" x14ac:dyDescent="0.3">
      <c r="A112" s="2">
        <v>44958</v>
      </c>
      <c r="B112">
        <v>2023</v>
      </c>
      <c r="C112" t="s">
        <v>23</v>
      </c>
      <c r="D112" t="s">
        <v>21</v>
      </c>
      <c r="E112" t="s">
        <v>19</v>
      </c>
      <c r="F112">
        <v>3860.8</v>
      </c>
      <c r="G112">
        <v>107</v>
      </c>
      <c r="H112">
        <v>98</v>
      </c>
      <c r="I112">
        <v>27306</v>
      </c>
      <c r="J112">
        <v>137.1</v>
      </c>
      <c r="K112">
        <f t="shared" si="1"/>
        <v>205</v>
      </c>
    </row>
    <row r="113" spans="1:11" x14ac:dyDescent="0.3">
      <c r="A113" s="2">
        <v>44958</v>
      </c>
      <c r="B113">
        <v>2023</v>
      </c>
      <c r="C113" t="s">
        <v>23</v>
      </c>
      <c r="D113" t="s">
        <v>22</v>
      </c>
      <c r="E113" t="s">
        <v>19</v>
      </c>
      <c r="F113">
        <v>2016.2</v>
      </c>
      <c r="G113">
        <v>189</v>
      </c>
      <c r="H113">
        <v>250</v>
      </c>
      <c r="I113">
        <v>18006</v>
      </c>
      <c r="J113">
        <v>1011.9</v>
      </c>
      <c r="K113">
        <f t="shared" si="1"/>
        <v>439</v>
      </c>
    </row>
    <row r="114" spans="1:11" x14ac:dyDescent="0.3">
      <c r="A114" s="2">
        <v>44986</v>
      </c>
      <c r="B114">
        <v>2023</v>
      </c>
      <c r="C114" t="s">
        <v>24</v>
      </c>
      <c r="D114" t="s">
        <v>11</v>
      </c>
      <c r="E114" t="s">
        <v>12</v>
      </c>
      <c r="F114">
        <v>856.1</v>
      </c>
      <c r="G114">
        <v>161</v>
      </c>
      <c r="H114">
        <v>423</v>
      </c>
      <c r="I114">
        <v>19490</v>
      </c>
      <c r="J114">
        <v>1315.8</v>
      </c>
      <c r="K114">
        <f t="shared" si="1"/>
        <v>584</v>
      </c>
    </row>
    <row r="115" spans="1:11" x14ac:dyDescent="0.3">
      <c r="A115" s="2">
        <v>44986</v>
      </c>
      <c r="B115">
        <v>2023</v>
      </c>
      <c r="C115" t="s">
        <v>24</v>
      </c>
      <c r="D115" t="s">
        <v>13</v>
      </c>
      <c r="E115" t="s">
        <v>14</v>
      </c>
      <c r="F115">
        <v>5427.6</v>
      </c>
      <c r="G115">
        <v>462</v>
      </c>
      <c r="H115">
        <v>38</v>
      </c>
      <c r="I115">
        <v>11631</v>
      </c>
      <c r="J115">
        <v>1102.0999999999999</v>
      </c>
      <c r="K115">
        <f t="shared" si="1"/>
        <v>500</v>
      </c>
    </row>
    <row r="116" spans="1:11" x14ac:dyDescent="0.3">
      <c r="A116" s="2">
        <v>44986</v>
      </c>
      <c r="B116">
        <v>2023</v>
      </c>
      <c r="C116" t="s">
        <v>24</v>
      </c>
      <c r="D116" t="s">
        <v>15</v>
      </c>
      <c r="E116" t="s">
        <v>16</v>
      </c>
      <c r="F116">
        <v>2840</v>
      </c>
      <c r="G116">
        <v>509</v>
      </c>
      <c r="H116">
        <v>246</v>
      </c>
      <c r="I116">
        <v>23290</v>
      </c>
      <c r="J116">
        <v>1711.4</v>
      </c>
      <c r="K116">
        <f t="shared" si="1"/>
        <v>755</v>
      </c>
    </row>
    <row r="117" spans="1:11" x14ac:dyDescent="0.3">
      <c r="A117" s="2">
        <v>44986</v>
      </c>
      <c r="B117">
        <v>2023</v>
      </c>
      <c r="C117" t="s">
        <v>24</v>
      </c>
      <c r="D117" t="s">
        <v>17</v>
      </c>
      <c r="E117" t="s">
        <v>14</v>
      </c>
      <c r="F117">
        <v>4137.3999999999996</v>
      </c>
      <c r="G117">
        <v>547</v>
      </c>
      <c r="H117">
        <v>297</v>
      </c>
      <c r="I117">
        <v>25657</v>
      </c>
      <c r="J117">
        <v>714.2</v>
      </c>
      <c r="K117">
        <f t="shared" si="1"/>
        <v>844</v>
      </c>
    </row>
    <row r="118" spans="1:11" x14ac:dyDescent="0.3">
      <c r="A118" s="2">
        <v>44986</v>
      </c>
      <c r="B118">
        <v>2023</v>
      </c>
      <c r="C118" t="s">
        <v>24</v>
      </c>
      <c r="D118" t="s">
        <v>18</v>
      </c>
      <c r="E118" t="s">
        <v>19</v>
      </c>
      <c r="F118">
        <v>4090.8</v>
      </c>
      <c r="G118">
        <v>328</v>
      </c>
      <c r="H118">
        <v>61</v>
      </c>
      <c r="I118">
        <v>12558</v>
      </c>
      <c r="J118">
        <v>1838.8</v>
      </c>
      <c r="K118">
        <f t="shared" si="1"/>
        <v>389</v>
      </c>
    </row>
    <row r="119" spans="1:11" x14ac:dyDescent="0.3">
      <c r="A119" s="2">
        <v>44986</v>
      </c>
      <c r="B119">
        <v>2023</v>
      </c>
      <c r="C119" t="s">
        <v>24</v>
      </c>
      <c r="D119" t="s">
        <v>20</v>
      </c>
      <c r="E119" t="s">
        <v>14</v>
      </c>
      <c r="F119">
        <v>5120.5</v>
      </c>
      <c r="G119">
        <v>122</v>
      </c>
      <c r="H119">
        <v>176</v>
      </c>
      <c r="I119">
        <v>6556</v>
      </c>
      <c r="J119">
        <v>98.4</v>
      </c>
      <c r="K119">
        <f t="shared" si="1"/>
        <v>298</v>
      </c>
    </row>
    <row r="120" spans="1:11" x14ac:dyDescent="0.3">
      <c r="A120" s="2">
        <v>44986</v>
      </c>
      <c r="B120">
        <v>2023</v>
      </c>
      <c r="C120" t="s">
        <v>24</v>
      </c>
      <c r="D120" t="s">
        <v>21</v>
      </c>
      <c r="E120" t="s">
        <v>19</v>
      </c>
      <c r="F120">
        <v>7434.2</v>
      </c>
      <c r="G120">
        <v>279</v>
      </c>
      <c r="H120">
        <v>160</v>
      </c>
      <c r="I120">
        <v>18355</v>
      </c>
      <c r="J120">
        <v>64.3</v>
      </c>
      <c r="K120">
        <f t="shared" si="1"/>
        <v>439</v>
      </c>
    </row>
    <row r="121" spans="1:11" x14ac:dyDescent="0.3">
      <c r="A121" s="2">
        <v>44986</v>
      </c>
      <c r="B121">
        <v>2023</v>
      </c>
      <c r="C121" t="s">
        <v>24</v>
      </c>
      <c r="D121" t="s">
        <v>22</v>
      </c>
      <c r="E121" t="s">
        <v>19</v>
      </c>
      <c r="F121">
        <v>2368.6</v>
      </c>
      <c r="G121">
        <v>427</v>
      </c>
      <c r="H121">
        <v>320</v>
      </c>
      <c r="I121">
        <v>29472</v>
      </c>
      <c r="J121">
        <v>1259.7</v>
      </c>
      <c r="K121">
        <f t="shared" si="1"/>
        <v>747</v>
      </c>
    </row>
    <row r="122" spans="1:11" x14ac:dyDescent="0.3">
      <c r="A122" s="2">
        <v>45017</v>
      </c>
      <c r="B122">
        <v>2023</v>
      </c>
      <c r="C122" t="s">
        <v>25</v>
      </c>
      <c r="D122" t="s">
        <v>11</v>
      </c>
      <c r="E122" t="s">
        <v>12</v>
      </c>
      <c r="F122">
        <v>3924.5</v>
      </c>
      <c r="G122">
        <v>461</v>
      </c>
      <c r="H122">
        <v>452</v>
      </c>
      <c r="I122">
        <v>21900</v>
      </c>
      <c r="J122">
        <v>1928.3</v>
      </c>
      <c r="K122">
        <f t="shared" si="1"/>
        <v>913</v>
      </c>
    </row>
    <row r="123" spans="1:11" x14ac:dyDescent="0.3">
      <c r="A123" s="2">
        <v>45017</v>
      </c>
      <c r="B123">
        <v>2023</v>
      </c>
      <c r="C123" t="s">
        <v>25</v>
      </c>
      <c r="D123" t="s">
        <v>13</v>
      </c>
      <c r="E123" t="s">
        <v>14</v>
      </c>
      <c r="F123">
        <v>6299.6</v>
      </c>
      <c r="G123">
        <v>522</v>
      </c>
      <c r="H123">
        <v>65</v>
      </c>
      <c r="I123">
        <v>22239</v>
      </c>
      <c r="J123">
        <v>908.2</v>
      </c>
      <c r="K123">
        <f t="shared" si="1"/>
        <v>587</v>
      </c>
    </row>
    <row r="124" spans="1:11" x14ac:dyDescent="0.3">
      <c r="A124" s="2">
        <v>45017</v>
      </c>
      <c r="B124">
        <v>2023</v>
      </c>
      <c r="C124" t="s">
        <v>25</v>
      </c>
      <c r="D124" t="s">
        <v>15</v>
      </c>
      <c r="E124" t="s">
        <v>16</v>
      </c>
      <c r="F124">
        <v>4514.2</v>
      </c>
      <c r="G124">
        <v>399</v>
      </c>
      <c r="H124">
        <v>485</v>
      </c>
      <c r="I124">
        <v>29552</v>
      </c>
      <c r="J124">
        <v>612</v>
      </c>
      <c r="K124">
        <f t="shared" si="1"/>
        <v>884</v>
      </c>
    </row>
    <row r="125" spans="1:11" x14ac:dyDescent="0.3">
      <c r="A125" s="2">
        <v>45017</v>
      </c>
      <c r="B125">
        <v>2023</v>
      </c>
      <c r="C125" t="s">
        <v>25</v>
      </c>
      <c r="D125" t="s">
        <v>17</v>
      </c>
      <c r="E125" t="s">
        <v>14</v>
      </c>
      <c r="F125">
        <v>5923.3</v>
      </c>
      <c r="G125">
        <v>454</v>
      </c>
      <c r="H125">
        <v>179</v>
      </c>
      <c r="I125">
        <v>4592</v>
      </c>
      <c r="J125">
        <v>129.80000000000001</v>
      </c>
      <c r="K125">
        <f t="shared" si="1"/>
        <v>633</v>
      </c>
    </row>
    <row r="126" spans="1:11" x14ac:dyDescent="0.3">
      <c r="A126" s="2">
        <v>45017</v>
      </c>
      <c r="B126">
        <v>2023</v>
      </c>
      <c r="C126" t="s">
        <v>25</v>
      </c>
      <c r="D126" t="s">
        <v>18</v>
      </c>
      <c r="E126" t="s">
        <v>19</v>
      </c>
      <c r="F126">
        <v>6263.3</v>
      </c>
      <c r="G126">
        <v>304</v>
      </c>
      <c r="H126">
        <v>492</v>
      </c>
      <c r="I126">
        <v>14484</v>
      </c>
      <c r="J126">
        <v>1956.9</v>
      </c>
      <c r="K126">
        <f t="shared" si="1"/>
        <v>796</v>
      </c>
    </row>
    <row r="127" spans="1:11" x14ac:dyDescent="0.3">
      <c r="A127" s="2">
        <v>45017</v>
      </c>
      <c r="B127">
        <v>2023</v>
      </c>
      <c r="C127" t="s">
        <v>25</v>
      </c>
      <c r="D127" t="s">
        <v>20</v>
      </c>
      <c r="E127" t="s">
        <v>14</v>
      </c>
      <c r="F127">
        <v>3410.3</v>
      </c>
      <c r="G127">
        <v>480</v>
      </c>
      <c r="H127">
        <v>51</v>
      </c>
      <c r="I127">
        <v>17108</v>
      </c>
      <c r="J127">
        <v>1614</v>
      </c>
      <c r="K127">
        <f t="shared" si="1"/>
        <v>531</v>
      </c>
    </row>
    <row r="128" spans="1:11" x14ac:dyDescent="0.3">
      <c r="A128" s="2">
        <v>45017</v>
      </c>
      <c r="B128">
        <v>2023</v>
      </c>
      <c r="C128" t="s">
        <v>25</v>
      </c>
      <c r="D128" t="s">
        <v>21</v>
      </c>
      <c r="E128" t="s">
        <v>19</v>
      </c>
      <c r="F128">
        <v>7412.7</v>
      </c>
      <c r="G128">
        <v>497</v>
      </c>
      <c r="H128">
        <v>28</v>
      </c>
      <c r="I128">
        <v>11808</v>
      </c>
      <c r="J128">
        <v>145</v>
      </c>
      <c r="K128">
        <f t="shared" si="1"/>
        <v>525</v>
      </c>
    </row>
    <row r="129" spans="1:11" x14ac:dyDescent="0.3">
      <c r="A129" s="2">
        <v>45017</v>
      </c>
      <c r="B129">
        <v>2023</v>
      </c>
      <c r="C129" t="s">
        <v>25</v>
      </c>
      <c r="D129" t="s">
        <v>22</v>
      </c>
      <c r="E129" t="s">
        <v>19</v>
      </c>
      <c r="F129">
        <v>1052.4000000000001</v>
      </c>
      <c r="G129">
        <v>411</v>
      </c>
      <c r="H129">
        <v>359</v>
      </c>
      <c r="I129">
        <v>23437</v>
      </c>
      <c r="J129">
        <v>1737.6</v>
      </c>
      <c r="K129">
        <f t="shared" si="1"/>
        <v>770</v>
      </c>
    </row>
    <row r="130" spans="1:11" x14ac:dyDescent="0.3">
      <c r="A130" s="2">
        <v>45047</v>
      </c>
      <c r="B130">
        <v>2023</v>
      </c>
      <c r="C130" t="s">
        <v>26</v>
      </c>
      <c r="D130" t="s">
        <v>11</v>
      </c>
      <c r="E130" t="s">
        <v>12</v>
      </c>
      <c r="F130">
        <v>5967.6</v>
      </c>
      <c r="G130">
        <v>484</v>
      </c>
      <c r="H130">
        <v>33</v>
      </c>
      <c r="I130">
        <v>7801</v>
      </c>
      <c r="J130">
        <v>1262.7</v>
      </c>
      <c r="K130">
        <f t="shared" si="1"/>
        <v>517</v>
      </c>
    </row>
    <row r="131" spans="1:11" x14ac:dyDescent="0.3">
      <c r="A131" s="2">
        <v>45047</v>
      </c>
      <c r="B131">
        <v>2023</v>
      </c>
      <c r="C131" t="s">
        <v>26</v>
      </c>
      <c r="D131" t="s">
        <v>13</v>
      </c>
      <c r="E131" t="s">
        <v>14</v>
      </c>
      <c r="F131">
        <v>6893.4</v>
      </c>
      <c r="G131">
        <v>22</v>
      </c>
      <c r="H131">
        <v>262</v>
      </c>
      <c r="I131">
        <v>20641</v>
      </c>
      <c r="J131">
        <v>107.7</v>
      </c>
      <c r="K131">
        <f t="shared" ref="K131:K194" si="2">(G131+H131)</f>
        <v>284</v>
      </c>
    </row>
    <row r="132" spans="1:11" x14ac:dyDescent="0.3">
      <c r="A132" s="2">
        <v>45047</v>
      </c>
      <c r="B132">
        <v>2023</v>
      </c>
      <c r="C132" t="s">
        <v>26</v>
      </c>
      <c r="D132" t="s">
        <v>15</v>
      </c>
      <c r="E132" t="s">
        <v>16</v>
      </c>
      <c r="F132">
        <v>3330.6</v>
      </c>
      <c r="G132">
        <v>539</v>
      </c>
      <c r="H132">
        <v>339</v>
      </c>
      <c r="I132">
        <v>7892</v>
      </c>
      <c r="J132">
        <v>1712.9</v>
      </c>
      <c r="K132">
        <f t="shared" si="2"/>
        <v>878</v>
      </c>
    </row>
    <row r="133" spans="1:11" x14ac:dyDescent="0.3">
      <c r="A133" s="2">
        <v>45047</v>
      </c>
      <c r="B133">
        <v>2023</v>
      </c>
      <c r="C133" t="s">
        <v>26</v>
      </c>
      <c r="D133" t="s">
        <v>17</v>
      </c>
      <c r="E133" t="s">
        <v>14</v>
      </c>
      <c r="F133">
        <v>2914.6</v>
      </c>
      <c r="G133">
        <v>514</v>
      </c>
      <c r="H133">
        <v>156</v>
      </c>
      <c r="I133">
        <v>18119</v>
      </c>
      <c r="J133">
        <v>824</v>
      </c>
      <c r="K133">
        <f t="shared" si="2"/>
        <v>670</v>
      </c>
    </row>
    <row r="134" spans="1:11" x14ac:dyDescent="0.3">
      <c r="A134" s="2">
        <v>45047</v>
      </c>
      <c r="B134">
        <v>2023</v>
      </c>
      <c r="C134" t="s">
        <v>26</v>
      </c>
      <c r="D134" t="s">
        <v>18</v>
      </c>
      <c r="E134" t="s">
        <v>19</v>
      </c>
      <c r="F134">
        <v>2343.6</v>
      </c>
      <c r="G134">
        <v>534</v>
      </c>
      <c r="H134">
        <v>101</v>
      </c>
      <c r="I134">
        <v>3459</v>
      </c>
      <c r="J134">
        <v>716.8</v>
      </c>
      <c r="K134">
        <f t="shared" si="2"/>
        <v>635</v>
      </c>
    </row>
    <row r="135" spans="1:11" x14ac:dyDescent="0.3">
      <c r="A135" s="2">
        <v>45047</v>
      </c>
      <c r="B135">
        <v>2023</v>
      </c>
      <c r="C135" t="s">
        <v>26</v>
      </c>
      <c r="D135" t="s">
        <v>20</v>
      </c>
      <c r="E135" t="s">
        <v>14</v>
      </c>
      <c r="F135">
        <v>5797.6</v>
      </c>
      <c r="G135">
        <v>488</v>
      </c>
      <c r="H135">
        <v>499</v>
      </c>
      <c r="I135">
        <v>9594</v>
      </c>
      <c r="J135">
        <v>845.5</v>
      </c>
      <c r="K135">
        <f t="shared" si="2"/>
        <v>987</v>
      </c>
    </row>
    <row r="136" spans="1:11" x14ac:dyDescent="0.3">
      <c r="A136" s="2">
        <v>45047</v>
      </c>
      <c r="B136">
        <v>2023</v>
      </c>
      <c r="C136" t="s">
        <v>26</v>
      </c>
      <c r="D136" t="s">
        <v>21</v>
      </c>
      <c r="E136" t="s">
        <v>19</v>
      </c>
      <c r="F136">
        <v>1267.2</v>
      </c>
      <c r="G136">
        <v>353</v>
      </c>
      <c r="H136">
        <v>498</v>
      </c>
      <c r="I136">
        <v>21325</v>
      </c>
      <c r="J136">
        <v>1210.7</v>
      </c>
      <c r="K136">
        <f t="shared" si="2"/>
        <v>851</v>
      </c>
    </row>
    <row r="137" spans="1:11" x14ac:dyDescent="0.3">
      <c r="A137" s="2">
        <v>45047</v>
      </c>
      <c r="B137">
        <v>2023</v>
      </c>
      <c r="C137" t="s">
        <v>26</v>
      </c>
      <c r="D137" t="s">
        <v>22</v>
      </c>
      <c r="E137" t="s">
        <v>19</v>
      </c>
      <c r="F137">
        <v>3260.5</v>
      </c>
      <c r="G137">
        <v>550</v>
      </c>
      <c r="H137">
        <v>253</v>
      </c>
      <c r="I137">
        <v>4896</v>
      </c>
      <c r="J137">
        <v>762.5</v>
      </c>
      <c r="K137">
        <f t="shared" si="2"/>
        <v>803</v>
      </c>
    </row>
    <row r="138" spans="1:11" x14ac:dyDescent="0.3">
      <c r="A138" s="2">
        <v>45078</v>
      </c>
      <c r="B138">
        <v>2023</v>
      </c>
      <c r="C138" t="s">
        <v>27</v>
      </c>
      <c r="D138" t="s">
        <v>11</v>
      </c>
      <c r="E138" t="s">
        <v>12</v>
      </c>
      <c r="F138">
        <v>723.9</v>
      </c>
      <c r="G138">
        <v>137</v>
      </c>
      <c r="H138">
        <v>18</v>
      </c>
      <c r="I138">
        <v>14145</v>
      </c>
      <c r="J138">
        <v>1287.4000000000001</v>
      </c>
      <c r="K138">
        <f t="shared" si="2"/>
        <v>155</v>
      </c>
    </row>
    <row r="139" spans="1:11" x14ac:dyDescent="0.3">
      <c r="A139" s="2">
        <v>45078</v>
      </c>
      <c r="B139">
        <v>2023</v>
      </c>
      <c r="C139" t="s">
        <v>27</v>
      </c>
      <c r="D139" t="s">
        <v>13</v>
      </c>
      <c r="E139" t="s">
        <v>14</v>
      </c>
      <c r="F139">
        <v>2877.7</v>
      </c>
      <c r="G139">
        <v>263</v>
      </c>
      <c r="H139">
        <v>480</v>
      </c>
      <c r="I139">
        <v>22806</v>
      </c>
      <c r="J139">
        <v>1104.7</v>
      </c>
      <c r="K139">
        <f t="shared" si="2"/>
        <v>743</v>
      </c>
    </row>
    <row r="140" spans="1:11" x14ac:dyDescent="0.3">
      <c r="A140" s="2">
        <v>45078</v>
      </c>
      <c r="B140">
        <v>2023</v>
      </c>
      <c r="C140" t="s">
        <v>27</v>
      </c>
      <c r="D140" t="s">
        <v>15</v>
      </c>
      <c r="E140" t="s">
        <v>16</v>
      </c>
      <c r="F140">
        <v>2419.4</v>
      </c>
      <c r="G140">
        <v>540</v>
      </c>
      <c r="H140">
        <v>125</v>
      </c>
      <c r="I140">
        <v>10434</v>
      </c>
      <c r="J140">
        <v>1822.7</v>
      </c>
      <c r="K140">
        <f t="shared" si="2"/>
        <v>665</v>
      </c>
    </row>
    <row r="141" spans="1:11" x14ac:dyDescent="0.3">
      <c r="A141" s="2">
        <v>45078</v>
      </c>
      <c r="B141">
        <v>2023</v>
      </c>
      <c r="C141" t="s">
        <v>27</v>
      </c>
      <c r="D141" t="s">
        <v>17</v>
      </c>
      <c r="E141" t="s">
        <v>14</v>
      </c>
      <c r="F141">
        <v>4330.3999999999996</v>
      </c>
      <c r="G141">
        <v>450</v>
      </c>
      <c r="H141">
        <v>299</v>
      </c>
      <c r="I141">
        <v>19949</v>
      </c>
      <c r="J141">
        <v>633.79999999999995</v>
      </c>
      <c r="K141">
        <f t="shared" si="2"/>
        <v>749</v>
      </c>
    </row>
    <row r="142" spans="1:11" x14ac:dyDescent="0.3">
      <c r="A142" s="2">
        <v>45078</v>
      </c>
      <c r="B142">
        <v>2023</v>
      </c>
      <c r="C142" t="s">
        <v>27</v>
      </c>
      <c r="D142" t="s">
        <v>18</v>
      </c>
      <c r="E142" t="s">
        <v>19</v>
      </c>
      <c r="F142">
        <v>2082.6999999999998</v>
      </c>
      <c r="G142">
        <v>207</v>
      </c>
      <c r="H142">
        <v>86</v>
      </c>
      <c r="I142">
        <v>26355</v>
      </c>
      <c r="J142">
        <v>602.29999999999995</v>
      </c>
      <c r="K142">
        <f t="shared" si="2"/>
        <v>293</v>
      </c>
    </row>
    <row r="143" spans="1:11" x14ac:dyDescent="0.3">
      <c r="A143" s="2">
        <v>45078</v>
      </c>
      <c r="B143">
        <v>2023</v>
      </c>
      <c r="C143" t="s">
        <v>27</v>
      </c>
      <c r="D143" t="s">
        <v>20</v>
      </c>
      <c r="E143" t="s">
        <v>14</v>
      </c>
      <c r="F143">
        <v>4579.6000000000004</v>
      </c>
      <c r="G143">
        <v>479</v>
      </c>
      <c r="H143">
        <v>394</v>
      </c>
      <c r="I143">
        <v>13713</v>
      </c>
      <c r="J143">
        <v>978.7</v>
      </c>
      <c r="K143">
        <f t="shared" si="2"/>
        <v>873</v>
      </c>
    </row>
    <row r="144" spans="1:11" x14ac:dyDescent="0.3">
      <c r="A144" s="2">
        <v>45078</v>
      </c>
      <c r="B144">
        <v>2023</v>
      </c>
      <c r="C144" t="s">
        <v>27</v>
      </c>
      <c r="D144" t="s">
        <v>21</v>
      </c>
      <c r="E144" t="s">
        <v>19</v>
      </c>
      <c r="F144">
        <v>7958.7</v>
      </c>
      <c r="G144">
        <v>411</v>
      </c>
      <c r="H144">
        <v>409</v>
      </c>
      <c r="I144">
        <v>27174</v>
      </c>
      <c r="J144">
        <v>1585.8</v>
      </c>
      <c r="K144">
        <f t="shared" si="2"/>
        <v>820</v>
      </c>
    </row>
    <row r="145" spans="1:11" x14ac:dyDescent="0.3">
      <c r="A145" s="2">
        <v>45078</v>
      </c>
      <c r="B145">
        <v>2023</v>
      </c>
      <c r="C145" t="s">
        <v>27</v>
      </c>
      <c r="D145" t="s">
        <v>22</v>
      </c>
      <c r="E145" t="s">
        <v>19</v>
      </c>
      <c r="F145">
        <v>1644.4</v>
      </c>
      <c r="G145">
        <v>346</v>
      </c>
      <c r="H145">
        <v>59</v>
      </c>
      <c r="I145">
        <v>19934</v>
      </c>
      <c r="J145">
        <v>1912.9</v>
      </c>
      <c r="K145">
        <f t="shared" si="2"/>
        <v>405</v>
      </c>
    </row>
    <row r="146" spans="1:11" x14ac:dyDescent="0.3">
      <c r="A146" s="2">
        <v>45108</v>
      </c>
      <c r="B146">
        <v>2023</v>
      </c>
      <c r="C146" t="s">
        <v>28</v>
      </c>
      <c r="D146" t="s">
        <v>11</v>
      </c>
      <c r="E146" t="s">
        <v>12</v>
      </c>
      <c r="F146">
        <v>4199.3</v>
      </c>
      <c r="G146">
        <v>271</v>
      </c>
      <c r="H146">
        <v>27</v>
      </c>
      <c r="I146">
        <v>28833</v>
      </c>
      <c r="J146">
        <v>250.9</v>
      </c>
      <c r="K146">
        <f t="shared" si="2"/>
        <v>298</v>
      </c>
    </row>
    <row r="147" spans="1:11" x14ac:dyDescent="0.3">
      <c r="A147" s="2">
        <v>45108</v>
      </c>
      <c r="B147">
        <v>2023</v>
      </c>
      <c r="C147" t="s">
        <v>28</v>
      </c>
      <c r="D147" t="s">
        <v>13</v>
      </c>
      <c r="E147" t="s">
        <v>14</v>
      </c>
      <c r="F147">
        <v>520.4</v>
      </c>
      <c r="G147">
        <v>162</v>
      </c>
      <c r="H147">
        <v>42</v>
      </c>
      <c r="I147">
        <v>14198</v>
      </c>
      <c r="J147">
        <v>1056.4000000000001</v>
      </c>
      <c r="K147">
        <f t="shared" si="2"/>
        <v>204</v>
      </c>
    </row>
    <row r="148" spans="1:11" x14ac:dyDescent="0.3">
      <c r="A148" s="2">
        <v>45108</v>
      </c>
      <c r="B148">
        <v>2023</v>
      </c>
      <c r="C148" t="s">
        <v>28</v>
      </c>
      <c r="D148" t="s">
        <v>15</v>
      </c>
      <c r="E148" t="s">
        <v>16</v>
      </c>
      <c r="F148">
        <v>2638</v>
      </c>
      <c r="G148">
        <v>49</v>
      </c>
      <c r="H148">
        <v>64</v>
      </c>
      <c r="I148">
        <v>12150</v>
      </c>
      <c r="J148">
        <v>168</v>
      </c>
      <c r="K148">
        <f t="shared" si="2"/>
        <v>113</v>
      </c>
    </row>
    <row r="149" spans="1:11" x14ac:dyDescent="0.3">
      <c r="A149" s="2">
        <v>45108</v>
      </c>
      <c r="B149">
        <v>2023</v>
      </c>
      <c r="C149" t="s">
        <v>28</v>
      </c>
      <c r="D149" t="s">
        <v>17</v>
      </c>
      <c r="E149" t="s">
        <v>14</v>
      </c>
      <c r="F149">
        <v>5645.9</v>
      </c>
      <c r="G149">
        <v>140</v>
      </c>
      <c r="H149">
        <v>158</v>
      </c>
      <c r="I149">
        <v>12429</v>
      </c>
      <c r="J149">
        <v>862.4</v>
      </c>
      <c r="K149">
        <f t="shared" si="2"/>
        <v>298</v>
      </c>
    </row>
    <row r="150" spans="1:11" x14ac:dyDescent="0.3">
      <c r="A150" s="2">
        <v>45108</v>
      </c>
      <c r="B150">
        <v>2023</v>
      </c>
      <c r="C150" t="s">
        <v>28</v>
      </c>
      <c r="D150" t="s">
        <v>18</v>
      </c>
      <c r="E150" t="s">
        <v>19</v>
      </c>
      <c r="F150">
        <v>213</v>
      </c>
      <c r="G150">
        <v>85</v>
      </c>
      <c r="H150">
        <v>432</v>
      </c>
      <c r="I150">
        <v>1035</v>
      </c>
      <c r="J150">
        <v>1040.9000000000001</v>
      </c>
      <c r="K150">
        <f t="shared" si="2"/>
        <v>517</v>
      </c>
    </row>
    <row r="151" spans="1:11" x14ac:dyDescent="0.3">
      <c r="A151" s="2">
        <v>45108</v>
      </c>
      <c r="B151">
        <v>2023</v>
      </c>
      <c r="C151" t="s">
        <v>28</v>
      </c>
      <c r="D151" t="s">
        <v>20</v>
      </c>
      <c r="E151" t="s">
        <v>14</v>
      </c>
      <c r="F151">
        <v>4018.1</v>
      </c>
      <c r="G151">
        <v>213</v>
      </c>
      <c r="H151">
        <v>221</v>
      </c>
      <c r="I151">
        <v>23636</v>
      </c>
      <c r="J151">
        <v>1690.3</v>
      </c>
      <c r="K151">
        <f t="shared" si="2"/>
        <v>434</v>
      </c>
    </row>
    <row r="152" spans="1:11" x14ac:dyDescent="0.3">
      <c r="A152" s="2">
        <v>45108</v>
      </c>
      <c r="B152">
        <v>2023</v>
      </c>
      <c r="C152" t="s">
        <v>28</v>
      </c>
      <c r="D152" t="s">
        <v>21</v>
      </c>
      <c r="E152" t="s">
        <v>19</v>
      </c>
      <c r="F152">
        <v>2230.6999999999998</v>
      </c>
      <c r="G152">
        <v>207</v>
      </c>
      <c r="H152">
        <v>128</v>
      </c>
      <c r="I152">
        <v>14916</v>
      </c>
      <c r="J152">
        <v>1382.4</v>
      </c>
      <c r="K152">
        <f t="shared" si="2"/>
        <v>335</v>
      </c>
    </row>
    <row r="153" spans="1:11" x14ac:dyDescent="0.3">
      <c r="A153" s="2">
        <v>45108</v>
      </c>
      <c r="B153">
        <v>2023</v>
      </c>
      <c r="C153" t="s">
        <v>28</v>
      </c>
      <c r="D153" t="s">
        <v>22</v>
      </c>
      <c r="E153" t="s">
        <v>19</v>
      </c>
      <c r="F153">
        <v>1980.4</v>
      </c>
      <c r="G153">
        <v>211</v>
      </c>
      <c r="H153">
        <v>465</v>
      </c>
      <c r="I153">
        <v>2408</v>
      </c>
      <c r="J153">
        <v>948.5</v>
      </c>
      <c r="K153">
        <f t="shared" si="2"/>
        <v>676</v>
      </c>
    </row>
    <row r="154" spans="1:11" x14ac:dyDescent="0.3">
      <c r="A154" s="2">
        <v>45139</v>
      </c>
      <c r="B154">
        <v>2023</v>
      </c>
      <c r="C154" t="s">
        <v>29</v>
      </c>
      <c r="D154" t="s">
        <v>11</v>
      </c>
      <c r="E154" t="s">
        <v>12</v>
      </c>
      <c r="F154">
        <v>5750.2</v>
      </c>
      <c r="G154">
        <v>107</v>
      </c>
      <c r="H154">
        <v>33</v>
      </c>
      <c r="I154">
        <v>5007</v>
      </c>
      <c r="J154">
        <v>1841.7</v>
      </c>
      <c r="K154">
        <f t="shared" si="2"/>
        <v>140</v>
      </c>
    </row>
    <row r="155" spans="1:11" x14ac:dyDescent="0.3">
      <c r="A155" s="2">
        <v>45139</v>
      </c>
      <c r="B155">
        <v>2023</v>
      </c>
      <c r="C155" t="s">
        <v>29</v>
      </c>
      <c r="D155" t="s">
        <v>13</v>
      </c>
      <c r="E155" t="s">
        <v>14</v>
      </c>
      <c r="F155">
        <v>272.2</v>
      </c>
      <c r="G155">
        <v>129</v>
      </c>
      <c r="H155">
        <v>25</v>
      </c>
      <c r="I155">
        <v>4208</v>
      </c>
      <c r="J155">
        <v>1259.3</v>
      </c>
      <c r="K155">
        <f t="shared" si="2"/>
        <v>154</v>
      </c>
    </row>
    <row r="156" spans="1:11" x14ac:dyDescent="0.3">
      <c r="A156" s="2">
        <v>45139</v>
      </c>
      <c r="B156">
        <v>2023</v>
      </c>
      <c r="C156" t="s">
        <v>29</v>
      </c>
      <c r="D156" t="s">
        <v>15</v>
      </c>
      <c r="E156" t="s">
        <v>16</v>
      </c>
      <c r="F156">
        <v>2084.8000000000002</v>
      </c>
      <c r="G156">
        <v>350</v>
      </c>
      <c r="H156">
        <v>299</v>
      </c>
      <c r="I156">
        <v>25633</v>
      </c>
      <c r="J156">
        <v>59.2</v>
      </c>
      <c r="K156">
        <f t="shared" si="2"/>
        <v>649</v>
      </c>
    </row>
    <row r="157" spans="1:11" x14ac:dyDescent="0.3">
      <c r="A157" s="2">
        <v>45139</v>
      </c>
      <c r="B157">
        <v>2023</v>
      </c>
      <c r="C157" t="s">
        <v>29</v>
      </c>
      <c r="D157" t="s">
        <v>17</v>
      </c>
      <c r="E157" t="s">
        <v>14</v>
      </c>
      <c r="F157">
        <v>6856.3</v>
      </c>
      <c r="G157">
        <v>379</v>
      </c>
      <c r="H157">
        <v>89</v>
      </c>
      <c r="I157">
        <v>23415</v>
      </c>
      <c r="J157">
        <v>1718.2</v>
      </c>
      <c r="K157">
        <f t="shared" si="2"/>
        <v>468</v>
      </c>
    </row>
    <row r="158" spans="1:11" x14ac:dyDescent="0.3">
      <c r="A158" s="2">
        <v>45139</v>
      </c>
      <c r="B158">
        <v>2023</v>
      </c>
      <c r="C158" t="s">
        <v>29</v>
      </c>
      <c r="D158" t="s">
        <v>18</v>
      </c>
      <c r="E158" t="s">
        <v>19</v>
      </c>
      <c r="F158">
        <v>2183.3000000000002</v>
      </c>
      <c r="G158">
        <v>552</v>
      </c>
      <c r="H158">
        <v>232</v>
      </c>
      <c r="I158">
        <v>18499</v>
      </c>
      <c r="J158">
        <v>1970.1</v>
      </c>
      <c r="K158">
        <f t="shared" si="2"/>
        <v>784</v>
      </c>
    </row>
    <row r="159" spans="1:11" x14ac:dyDescent="0.3">
      <c r="A159" s="2">
        <v>45139</v>
      </c>
      <c r="B159">
        <v>2023</v>
      </c>
      <c r="C159" t="s">
        <v>29</v>
      </c>
      <c r="D159" t="s">
        <v>20</v>
      </c>
      <c r="E159" t="s">
        <v>14</v>
      </c>
      <c r="F159">
        <v>3020</v>
      </c>
      <c r="G159">
        <v>491</v>
      </c>
      <c r="H159">
        <v>166</v>
      </c>
      <c r="I159">
        <v>24177</v>
      </c>
      <c r="J159">
        <v>1221.4000000000001</v>
      </c>
      <c r="K159">
        <f t="shared" si="2"/>
        <v>657</v>
      </c>
    </row>
    <row r="160" spans="1:11" x14ac:dyDescent="0.3">
      <c r="A160" s="2">
        <v>45139</v>
      </c>
      <c r="B160">
        <v>2023</v>
      </c>
      <c r="C160" t="s">
        <v>29</v>
      </c>
      <c r="D160" t="s">
        <v>21</v>
      </c>
      <c r="E160" t="s">
        <v>19</v>
      </c>
      <c r="F160">
        <v>1887.6</v>
      </c>
      <c r="G160">
        <v>260</v>
      </c>
      <c r="H160">
        <v>165</v>
      </c>
      <c r="I160">
        <v>3265</v>
      </c>
      <c r="J160">
        <v>108.2</v>
      </c>
      <c r="K160">
        <f t="shared" si="2"/>
        <v>425</v>
      </c>
    </row>
    <row r="161" spans="1:11" x14ac:dyDescent="0.3">
      <c r="A161" s="2">
        <v>45139</v>
      </c>
      <c r="B161">
        <v>2023</v>
      </c>
      <c r="C161" t="s">
        <v>29</v>
      </c>
      <c r="D161" t="s">
        <v>22</v>
      </c>
      <c r="E161" t="s">
        <v>19</v>
      </c>
      <c r="F161">
        <v>2902.5</v>
      </c>
      <c r="G161">
        <v>31</v>
      </c>
      <c r="H161">
        <v>91</v>
      </c>
      <c r="I161">
        <v>22030</v>
      </c>
      <c r="J161">
        <v>1430.8</v>
      </c>
      <c r="K161">
        <f t="shared" si="2"/>
        <v>122</v>
      </c>
    </row>
    <row r="162" spans="1:11" x14ac:dyDescent="0.3">
      <c r="A162" s="2">
        <v>45170</v>
      </c>
      <c r="B162">
        <v>2023</v>
      </c>
      <c r="C162" t="s">
        <v>30</v>
      </c>
      <c r="D162" t="s">
        <v>11</v>
      </c>
      <c r="E162" t="s">
        <v>12</v>
      </c>
      <c r="F162">
        <v>5960.9</v>
      </c>
      <c r="G162">
        <v>203</v>
      </c>
      <c r="H162">
        <v>446</v>
      </c>
      <c r="I162">
        <v>18221</v>
      </c>
      <c r="J162">
        <v>295.8</v>
      </c>
      <c r="K162">
        <f t="shared" si="2"/>
        <v>649</v>
      </c>
    </row>
    <row r="163" spans="1:11" x14ac:dyDescent="0.3">
      <c r="A163" s="2">
        <v>45170</v>
      </c>
      <c r="B163">
        <v>2023</v>
      </c>
      <c r="C163" t="s">
        <v>30</v>
      </c>
      <c r="D163" t="s">
        <v>13</v>
      </c>
      <c r="E163" t="s">
        <v>14</v>
      </c>
      <c r="F163">
        <v>1321</v>
      </c>
      <c r="G163">
        <v>421</v>
      </c>
      <c r="H163">
        <v>94</v>
      </c>
      <c r="I163">
        <v>15711</v>
      </c>
      <c r="J163">
        <v>1984</v>
      </c>
      <c r="K163">
        <f t="shared" si="2"/>
        <v>515</v>
      </c>
    </row>
    <row r="164" spans="1:11" x14ac:dyDescent="0.3">
      <c r="A164" s="2">
        <v>45170</v>
      </c>
      <c r="B164">
        <v>2023</v>
      </c>
      <c r="C164" t="s">
        <v>30</v>
      </c>
      <c r="D164" t="s">
        <v>15</v>
      </c>
      <c r="E164" t="s">
        <v>16</v>
      </c>
      <c r="F164">
        <v>231.3</v>
      </c>
      <c r="G164">
        <v>29</v>
      </c>
      <c r="H164">
        <v>496</v>
      </c>
      <c r="I164">
        <v>17954</v>
      </c>
      <c r="J164">
        <v>297.5</v>
      </c>
      <c r="K164">
        <f t="shared" si="2"/>
        <v>525</v>
      </c>
    </row>
    <row r="165" spans="1:11" x14ac:dyDescent="0.3">
      <c r="A165" s="2">
        <v>45170</v>
      </c>
      <c r="B165">
        <v>2023</v>
      </c>
      <c r="C165" t="s">
        <v>30</v>
      </c>
      <c r="D165" t="s">
        <v>17</v>
      </c>
      <c r="E165" t="s">
        <v>14</v>
      </c>
      <c r="F165">
        <v>7199</v>
      </c>
      <c r="G165">
        <v>530</v>
      </c>
      <c r="H165">
        <v>272</v>
      </c>
      <c r="I165">
        <v>19031</v>
      </c>
      <c r="J165">
        <v>582.70000000000005</v>
      </c>
      <c r="K165">
        <f t="shared" si="2"/>
        <v>802</v>
      </c>
    </row>
    <row r="166" spans="1:11" x14ac:dyDescent="0.3">
      <c r="A166" s="2">
        <v>45170</v>
      </c>
      <c r="B166">
        <v>2023</v>
      </c>
      <c r="C166" t="s">
        <v>30</v>
      </c>
      <c r="D166" t="s">
        <v>18</v>
      </c>
      <c r="E166" t="s">
        <v>19</v>
      </c>
      <c r="F166">
        <v>594.1</v>
      </c>
      <c r="G166">
        <v>364</v>
      </c>
      <c r="H166">
        <v>154</v>
      </c>
      <c r="I166">
        <v>20245</v>
      </c>
      <c r="J166">
        <v>1680.7</v>
      </c>
      <c r="K166">
        <f t="shared" si="2"/>
        <v>518</v>
      </c>
    </row>
    <row r="167" spans="1:11" x14ac:dyDescent="0.3">
      <c r="A167" s="2">
        <v>45170</v>
      </c>
      <c r="B167">
        <v>2023</v>
      </c>
      <c r="C167" t="s">
        <v>30</v>
      </c>
      <c r="D167" t="s">
        <v>20</v>
      </c>
      <c r="E167" t="s">
        <v>14</v>
      </c>
      <c r="F167">
        <v>341.7</v>
      </c>
      <c r="G167">
        <v>365</v>
      </c>
      <c r="H167">
        <v>123</v>
      </c>
      <c r="I167">
        <v>26342</v>
      </c>
      <c r="J167">
        <v>544.6</v>
      </c>
      <c r="K167">
        <f t="shared" si="2"/>
        <v>488</v>
      </c>
    </row>
    <row r="168" spans="1:11" x14ac:dyDescent="0.3">
      <c r="A168" s="2">
        <v>45170</v>
      </c>
      <c r="B168">
        <v>2023</v>
      </c>
      <c r="C168" t="s">
        <v>30</v>
      </c>
      <c r="D168" t="s">
        <v>21</v>
      </c>
      <c r="E168" t="s">
        <v>19</v>
      </c>
      <c r="F168">
        <v>4964</v>
      </c>
      <c r="G168">
        <v>341</v>
      </c>
      <c r="H168">
        <v>204</v>
      </c>
      <c r="I168">
        <v>20651</v>
      </c>
      <c r="J168">
        <v>1465.3</v>
      </c>
      <c r="K168">
        <f t="shared" si="2"/>
        <v>545</v>
      </c>
    </row>
    <row r="169" spans="1:11" x14ac:dyDescent="0.3">
      <c r="A169" s="2">
        <v>45170</v>
      </c>
      <c r="B169">
        <v>2023</v>
      </c>
      <c r="C169" t="s">
        <v>30</v>
      </c>
      <c r="D169" t="s">
        <v>22</v>
      </c>
      <c r="E169" t="s">
        <v>19</v>
      </c>
      <c r="F169">
        <v>4622.1000000000004</v>
      </c>
      <c r="G169">
        <v>459</v>
      </c>
      <c r="H169">
        <v>491</v>
      </c>
      <c r="I169">
        <v>13158</v>
      </c>
      <c r="J169">
        <v>1053.4000000000001</v>
      </c>
      <c r="K169">
        <f t="shared" si="2"/>
        <v>950</v>
      </c>
    </row>
    <row r="170" spans="1:11" x14ac:dyDescent="0.3">
      <c r="A170" s="2">
        <v>45200</v>
      </c>
      <c r="B170">
        <v>2023</v>
      </c>
      <c r="C170" t="s">
        <v>31</v>
      </c>
      <c r="D170" t="s">
        <v>11</v>
      </c>
      <c r="E170" t="s">
        <v>12</v>
      </c>
      <c r="F170">
        <v>297.3</v>
      </c>
      <c r="G170">
        <v>481</v>
      </c>
      <c r="H170">
        <v>264</v>
      </c>
      <c r="I170">
        <v>12830</v>
      </c>
      <c r="J170">
        <v>233.4</v>
      </c>
      <c r="K170">
        <f t="shared" si="2"/>
        <v>745</v>
      </c>
    </row>
    <row r="171" spans="1:11" x14ac:dyDescent="0.3">
      <c r="A171" s="2">
        <v>45200</v>
      </c>
      <c r="B171">
        <v>2023</v>
      </c>
      <c r="C171" t="s">
        <v>31</v>
      </c>
      <c r="D171" t="s">
        <v>13</v>
      </c>
      <c r="E171" t="s">
        <v>14</v>
      </c>
      <c r="F171">
        <v>7139.3</v>
      </c>
      <c r="G171">
        <v>249</v>
      </c>
      <c r="H171">
        <v>344</v>
      </c>
      <c r="I171">
        <v>5331</v>
      </c>
      <c r="J171">
        <v>1925</v>
      </c>
      <c r="K171">
        <f t="shared" si="2"/>
        <v>593</v>
      </c>
    </row>
    <row r="172" spans="1:11" x14ac:dyDescent="0.3">
      <c r="A172" s="2">
        <v>45200</v>
      </c>
      <c r="B172">
        <v>2023</v>
      </c>
      <c r="C172" t="s">
        <v>31</v>
      </c>
      <c r="D172" t="s">
        <v>15</v>
      </c>
      <c r="E172" t="s">
        <v>16</v>
      </c>
      <c r="F172">
        <v>1591.8</v>
      </c>
      <c r="G172">
        <v>135</v>
      </c>
      <c r="H172">
        <v>430</v>
      </c>
      <c r="I172">
        <v>27464</v>
      </c>
      <c r="J172">
        <v>463.7</v>
      </c>
      <c r="K172">
        <f t="shared" si="2"/>
        <v>565</v>
      </c>
    </row>
    <row r="173" spans="1:11" x14ac:dyDescent="0.3">
      <c r="A173" s="2">
        <v>45200</v>
      </c>
      <c r="B173">
        <v>2023</v>
      </c>
      <c r="C173" t="s">
        <v>31</v>
      </c>
      <c r="D173" t="s">
        <v>17</v>
      </c>
      <c r="E173" t="s">
        <v>14</v>
      </c>
      <c r="F173">
        <v>3864.4</v>
      </c>
      <c r="G173">
        <v>445</v>
      </c>
      <c r="H173">
        <v>440</v>
      </c>
      <c r="I173">
        <v>11992</v>
      </c>
      <c r="J173">
        <v>1058.2</v>
      </c>
      <c r="K173">
        <f t="shared" si="2"/>
        <v>885</v>
      </c>
    </row>
    <row r="174" spans="1:11" x14ac:dyDescent="0.3">
      <c r="A174" s="2">
        <v>45200</v>
      </c>
      <c r="B174">
        <v>2023</v>
      </c>
      <c r="C174" t="s">
        <v>31</v>
      </c>
      <c r="D174" t="s">
        <v>18</v>
      </c>
      <c r="E174" t="s">
        <v>19</v>
      </c>
      <c r="F174">
        <v>5985.4</v>
      </c>
      <c r="G174">
        <v>444</v>
      </c>
      <c r="H174">
        <v>393</v>
      </c>
      <c r="I174">
        <v>17528</v>
      </c>
      <c r="J174">
        <v>254</v>
      </c>
      <c r="K174">
        <f t="shared" si="2"/>
        <v>837</v>
      </c>
    </row>
    <row r="175" spans="1:11" x14ac:dyDescent="0.3">
      <c r="A175" s="2">
        <v>45200</v>
      </c>
      <c r="B175">
        <v>2023</v>
      </c>
      <c r="C175" t="s">
        <v>31</v>
      </c>
      <c r="D175" t="s">
        <v>20</v>
      </c>
      <c r="E175" t="s">
        <v>14</v>
      </c>
      <c r="F175">
        <v>7251</v>
      </c>
      <c r="G175">
        <v>522</v>
      </c>
      <c r="H175">
        <v>401</v>
      </c>
      <c r="I175">
        <v>3896</v>
      </c>
      <c r="J175">
        <v>448.6</v>
      </c>
      <c r="K175">
        <f t="shared" si="2"/>
        <v>923</v>
      </c>
    </row>
    <row r="176" spans="1:11" x14ac:dyDescent="0.3">
      <c r="A176" s="2">
        <v>45200</v>
      </c>
      <c r="B176">
        <v>2023</v>
      </c>
      <c r="C176" t="s">
        <v>31</v>
      </c>
      <c r="D176" t="s">
        <v>21</v>
      </c>
      <c r="E176" t="s">
        <v>19</v>
      </c>
      <c r="F176">
        <v>6000.1</v>
      </c>
      <c r="G176">
        <v>33</v>
      </c>
      <c r="H176">
        <v>489</v>
      </c>
      <c r="I176">
        <v>11937</v>
      </c>
      <c r="J176">
        <v>1452.7</v>
      </c>
      <c r="K176">
        <f t="shared" si="2"/>
        <v>522</v>
      </c>
    </row>
    <row r="177" spans="1:11" x14ac:dyDescent="0.3">
      <c r="A177" s="2">
        <v>45200</v>
      </c>
      <c r="B177">
        <v>2023</v>
      </c>
      <c r="C177" t="s">
        <v>31</v>
      </c>
      <c r="D177" t="s">
        <v>22</v>
      </c>
      <c r="E177" t="s">
        <v>19</v>
      </c>
      <c r="F177">
        <v>7123.1</v>
      </c>
      <c r="G177">
        <v>248</v>
      </c>
      <c r="H177">
        <v>166</v>
      </c>
      <c r="I177">
        <v>18653</v>
      </c>
      <c r="J177">
        <v>1182.9000000000001</v>
      </c>
      <c r="K177">
        <f t="shared" si="2"/>
        <v>414</v>
      </c>
    </row>
    <row r="178" spans="1:11" x14ac:dyDescent="0.3">
      <c r="A178" s="2">
        <v>45231</v>
      </c>
      <c r="B178">
        <v>2023</v>
      </c>
      <c r="C178" t="s">
        <v>32</v>
      </c>
      <c r="D178" t="s">
        <v>11</v>
      </c>
      <c r="E178" t="s">
        <v>12</v>
      </c>
      <c r="F178">
        <v>3391.3</v>
      </c>
      <c r="G178">
        <v>369</v>
      </c>
      <c r="H178">
        <v>468</v>
      </c>
      <c r="I178">
        <v>14561</v>
      </c>
      <c r="J178">
        <v>433.6</v>
      </c>
      <c r="K178">
        <f t="shared" si="2"/>
        <v>837</v>
      </c>
    </row>
    <row r="179" spans="1:11" x14ac:dyDescent="0.3">
      <c r="A179" s="2">
        <v>45231</v>
      </c>
      <c r="B179">
        <v>2023</v>
      </c>
      <c r="C179" t="s">
        <v>32</v>
      </c>
      <c r="D179" t="s">
        <v>13</v>
      </c>
      <c r="E179" t="s">
        <v>14</v>
      </c>
      <c r="F179">
        <v>3142.2</v>
      </c>
      <c r="G179">
        <v>248</v>
      </c>
      <c r="H179">
        <v>74</v>
      </c>
      <c r="I179">
        <v>5723</v>
      </c>
      <c r="J179">
        <v>1384.9</v>
      </c>
      <c r="K179">
        <f t="shared" si="2"/>
        <v>322</v>
      </c>
    </row>
    <row r="180" spans="1:11" x14ac:dyDescent="0.3">
      <c r="A180" s="2">
        <v>45231</v>
      </c>
      <c r="B180">
        <v>2023</v>
      </c>
      <c r="C180" t="s">
        <v>32</v>
      </c>
      <c r="D180" t="s">
        <v>15</v>
      </c>
      <c r="E180" t="s">
        <v>16</v>
      </c>
      <c r="F180">
        <v>2847.9</v>
      </c>
      <c r="G180">
        <v>573</v>
      </c>
      <c r="H180">
        <v>129</v>
      </c>
      <c r="I180">
        <v>3868</v>
      </c>
      <c r="J180">
        <v>1519.3</v>
      </c>
      <c r="K180">
        <f t="shared" si="2"/>
        <v>702</v>
      </c>
    </row>
    <row r="181" spans="1:11" x14ac:dyDescent="0.3">
      <c r="A181" s="2">
        <v>45231</v>
      </c>
      <c r="B181">
        <v>2023</v>
      </c>
      <c r="C181" t="s">
        <v>32</v>
      </c>
      <c r="D181" t="s">
        <v>17</v>
      </c>
      <c r="E181" t="s">
        <v>14</v>
      </c>
      <c r="F181">
        <v>7072.1</v>
      </c>
      <c r="G181">
        <v>181</v>
      </c>
      <c r="H181">
        <v>109</v>
      </c>
      <c r="I181">
        <v>6387</v>
      </c>
      <c r="J181">
        <v>1067.9000000000001</v>
      </c>
      <c r="K181">
        <f t="shared" si="2"/>
        <v>290</v>
      </c>
    </row>
    <row r="182" spans="1:11" x14ac:dyDescent="0.3">
      <c r="A182" s="2">
        <v>45231</v>
      </c>
      <c r="B182">
        <v>2023</v>
      </c>
      <c r="C182" t="s">
        <v>32</v>
      </c>
      <c r="D182" t="s">
        <v>18</v>
      </c>
      <c r="E182" t="s">
        <v>19</v>
      </c>
      <c r="F182">
        <v>3853.6</v>
      </c>
      <c r="G182">
        <v>170</v>
      </c>
      <c r="H182">
        <v>32</v>
      </c>
      <c r="I182">
        <v>14963</v>
      </c>
      <c r="J182">
        <v>1920.7</v>
      </c>
      <c r="K182">
        <f t="shared" si="2"/>
        <v>202</v>
      </c>
    </row>
    <row r="183" spans="1:11" x14ac:dyDescent="0.3">
      <c r="A183" s="2">
        <v>45231</v>
      </c>
      <c r="B183">
        <v>2023</v>
      </c>
      <c r="C183" t="s">
        <v>32</v>
      </c>
      <c r="D183" t="s">
        <v>20</v>
      </c>
      <c r="E183" t="s">
        <v>14</v>
      </c>
      <c r="F183">
        <v>5289.6</v>
      </c>
      <c r="G183">
        <v>307</v>
      </c>
      <c r="H183">
        <v>64</v>
      </c>
      <c r="I183">
        <v>8320</v>
      </c>
      <c r="J183">
        <v>624.79999999999995</v>
      </c>
      <c r="K183">
        <f t="shared" si="2"/>
        <v>371</v>
      </c>
    </row>
    <row r="184" spans="1:11" x14ac:dyDescent="0.3">
      <c r="A184" s="2">
        <v>45231</v>
      </c>
      <c r="B184">
        <v>2023</v>
      </c>
      <c r="C184" t="s">
        <v>32</v>
      </c>
      <c r="D184" t="s">
        <v>21</v>
      </c>
      <c r="E184" t="s">
        <v>19</v>
      </c>
      <c r="F184">
        <v>6165.5</v>
      </c>
      <c r="G184">
        <v>528</v>
      </c>
      <c r="H184">
        <v>451</v>
      </c>
      <c r="I184">
        <v>29552</v>
      </c>
      <c r="J184">
        <v>1965.6</v>
      </c>
      <c r="K184">
        <f t="shared" si="2"/>
        <v>979</v>
      </c>
    </row>
    <row r="185" spans="1:11" x14ac:dyDescent="0.3">
      <c r="A185" s="2">
        <v>45231</v>
      </c>
      <c r="B185">
        <v>2023</v>
      </c>
      <c r="C185" t="s">
        <v>32</v>
      </c>
      <c r="D185" t="s">
        <v>22</v>
      </c>
      <c r="E185" t="s">
        <v>19</v>
      </c>
      <c r="F185">
        <v>7633.4</v>
      </c>
      <c r="G185">
        <v>61</v>
      </c>
      <c r="H185">
        <v>77</v>
      </c>
      <c r="I185">
        <v>9829</v>
      </c>
      <c r="J185">
        <v>1128.2</v>
      </c>
      <c r="K185">
        <f t="shared" si="2"/>
        <v>138</v>
      </c>
    </row>
    <row r="186" spans="1:11" x14ac:dyDescent="0.3">
      <c r="A186" s="2">
        <v>45261</v>
      </c>
      <c r="B186">
        <v>2023</v>
      </c>
      <c r="C186" t="s">
        <v>33</v>
      </c>
      <c r="D186" t="s">
        <v>11</v>
      </c>
      <c r="E186" t="s">
        <v>12</v>
      </c>
      <c r="F186">
        <v>956.4</v>
      </c>
      <c r="G186">
        <v>510</v>
      </c>
      <c r="H186">
        <v>312</v>
      </c>
      <c r="I186">
        <v>16728</v>
      </c>
      <c r="J186">
        <v>372.4</v>
      </c>
      <c r="K186">
        <f t="shared" si="2"/>
        <v>822</v>
      </c>
    </row>
    <row r="187" spans="1:11" x14ac:dyDescent="0.3">
      <c r="A187" s="2">
        <v>45261</v>
      </c>
      <c r="B187">
        <v>2023</v>
      </c>
      <c r="C187" t="s">
        <v>33</v>
      </c>
      <c r="D187" t="s">
        <v>13</v>
      </c>
      <c r="E187" t="s">
        <v>14</v>
      </c>
      <c r="F187">
        <v>2175.4</v>
      </c>
      <c r="G187">
        <v>112</v>
      </c>
      <c r="H187">
        <v>427</v>
      </c>
      <c r="I187">
        <v>17942</v>
      </c>
      <c r="J187">
        <v>1483.5</v>
      </c>
      <c r="K187">
        <f t="shared" si="2"/>
        <v>539</v>
      </c>
    </row>
    <row r="188" spans="1:11" x14ac:dyDescent="0.3">
      <c r="A188" s="2">
        <v>45261</v>
      </c>
      <c r="B188">
        <v>2023</v>
      </c>
      <c r="C188" t="s">
        <v>33</v>
      </c>
      <c r="D188" t="s">
        <v>15</v>
      </c>
      <c r="E188" t="s">
        <v>16</v>
      </c>
      <c r="F188">
        <v>2509.1</v>
      </c>
      <c r="G188">
        <v>235</v>
      </c>
      <c r="H188">
        <v>208</v>
      </c>
      <c r="I188">
        <v>23040</v>
      </c>
      <c r="J188">
        <v>1556.1</v>
      </c>
      <c r="K188">
        <f t="shared" si="2"/>
        <v>443</v>
      </c>
    </row>
    <row r="189" spans="1:11" x14ac:dyDescent="0.3">
      <c r="A189" s="2">
        <v>45261</v>
      </c>
      <c r="B189">
        <v>2023</v>
      </c>
      <c r="C189" t="s">
        <v>33</v>
      </c>
      <c r="D189" t="s">
        <v>17</v>
      </c>
      <c r="E189" t="s">
        <v>14</v>
      </c>
      <c r="F189">
        <v>1813.1</v>
      </c>
      <c r="G189">
        <v>566</v>
      </c>
      <c r="H189">
        <v>69</v>
      </c>
      <c r="I189">
        <v>26987</v>
      </c>
      <c r="J189">
        <v>245.8</v>
      </c>
      <c r="K189">
        <f t="shared" si="2"/>
        <v>635</v>
      </c>
    </row>
    <row r="190" spans="1:11" x14ac:dyDescent="0.3">
      <c r="A190" s="2">
        <v>45261</v>
      </c>
      <c r="B190">
        <v>2023</v>
      </c>
      <c r="C190" t="s">
        <v>33</v>
      </c>
      <c r="D190" t="s">
        <v>18</v>
      </c>
      <c r="E190" t="s">
        <v>19</v>
      </c>
      <c r="F190">
        <v>2263.4</v>
      </c>
      <c r="G190">
        <v>510</v>
      </c>
      <c r="H190">
        <v>97</v>
      </c>
      <c r="I190">
        <v>12993</v>
      </c>
      <c r="J190">
        <v>927.2</v>
      </c>
      <c r="K190">
        <f t="shared" si="2"/>
        <v>607</v>
      </c>
    </row>
    <row r="191" spans="1:11" x14ac:dyDescent="0.3">
      <c r="A191" s="2">
        <v>45261</v>
      </c>
      <c r="B191">
        <v>2023</v>
      </c>
      <c r="C191" t="s">
        <v>33</v>
      </c>
      <c r="D191" t="s">
        <v>20</v>
      </c>
      <c r="E191" t="s">
        <v>14</v>
      </c>
      <c r="F191">
        <v>2113</v>
      </c>
      <c r="G191">
        <v>431</v>
      </c>
      <c r="H191">
        <v>427</v>
      </c>
      <c r="I191">
        <v>26362</v>
      </c>
      <c r="J191">
        <v>711.7</v>
      </c>
      <c r="K191">
        <f t="shared" si="2"/>
        <v>858</v>
      </c>
    </row>
    <row r="192" spans="1:11" x14ac:dyDescent="0.3">
      <c r="A192" s="2">
        <v>45261</v>
      </c>
      <c r="B192">
        <v>2023</v>
      </c>
      <c r="C192" t="s">
        <v>33</v>
      </c>
      <c r="D192" t="s">
        <v>21</v>
      </c>
      <c r="E192" t="s">
        <v>19</v>
      </c>
      <c r="F192">
        <v>4340.6000000000004</v>
      </c>
      <c r="G192">
        <v>164</v>
      </c>
      <c r="H192">
        <v>129</v>
      </c>
      <c r="I192">
        <v>5676</v>
      </c>
      <c r="J192">
        <v>1883</v>
      </c>
      <c r="K192">
        <f t="shared" si="2"/>
        <v>293</v>
      </c>
    </row>
    <row r="193" spans="1:11" x14ac:dyDescent="0.3">
      <c r="A193" s="2">
        <v>45261</v>
      </c>
      <c r="B193">
        <v>2023</v>
      </c>
      <c r="C193" t="s">
        <v>33</v>
      </c>
      <c r="D193" t="s">
        <v>22</v>
      </c>
      <c r="E193" t="s">
        <v>19</v>
      </c>
      <c r="F193">
        <v>7126.3</v>
      </c>
      <c r="G193">
        <v>470</v>
      </c>
      <c r="H193">
        <v>263</v>
      </c>
      <c r="I193">
        <v>15227</v>
      </c>
      <c r="J193">
        <v>1083</v>
      </c>
      <c r="K193">
        <f t="shared" si="2"/>
        <v>733</v>
      </c>
    </row>
    <row r="194" spans="1:11" x14ac:dyDescent="0.3">
      <c r="A194" s="2">
        <v>45292</v>
      </c>
      <c r="B194">
        <v>2024</v>
      </c>
      <c r="C194" t="s">
        <v>10</v>
      </c>
      <c r="D194" t="s">
        <v>11</v>
      </c>
      <c r="E194" t="s">
        <v>12</v>
      </c>
      <c r="F194">
        <v>4385.2</v>
      </c>
      <c r="G194">
        <v>272</v>
      </c>
      <c r="H194">
        <v>74</v>
      </c>
      <c r="I194">
        <v>4644</v>
      </c>
      <c r="J194">
        <v>1906.9</v>
      </c>
      <c r="K194">
        <f t="shared" si="2"/>
        <v>346</v>
      </c>
    </row>
    <row r="195" spans="1:11" x14ac:dyDescent="0.3">
      <c r="A195" s="2">
        <v>45292</v>
      </c>
      <c r="B195">
        <v>2024</v>
      </c>
      <c r="C195" t="s">
        <v>10</v>
      </c>
      <c r="D195" t="s">
        <v>13</v>
      </c>
      <c r="E195" t="s">
        <v>14</v>
      </c>
      <c r="F195">
        <v>3959.8</v>
      </c>
      <c r="G195">
        <v>572</v>
      </c>
      <c r="H195">
        <v>90</v>
      </c>
      <c r="I195">
        <v>17078</v>
      </c>
      <c r="J195">
        <v>455</v>
      </c>
      <c r="K195">
        <f t="shared" ref="K195:K258" si="3">(G195+H195)</f>
        <v>662</v>
      </c>
    </row>
    <row r="196" spans="1:11" x14ac:dyDescent="0.3">
      <c r="A196" s="2">
        <v>45292</v>
      </c>
      <c r="B196">
        <v>2024</v>
      </c>
      <c r="C196" t="s">
        <v>10</v>
      </c>
      <c r="D196" t="s">
        <v>15</v>
      </c>
      <c r="E196" t="s">
        <v>16</v>
      </c>
      <c r="F196">
        <v>2174.8000000000002</v>
      </c>
      <c r="G196">
        <v>37</v>
      </c>
      <c r="H196">
        <v>68</v>
      </c>
      <c r="I196">
        <v>27588</v>
      </c>
      <c r="J196">
        <v>677</v>
      </c>
      <c r="K196">
        <f t="shared" si="3"/>
        <v>105</v>
      </c>
    </row>
    <row r="197" spans="1:11" x14ac:dyDescent="0.3">
      <c r="A197" s="2">
        <v>45292</v>
      </c>
      <c r="B197">
        <v>2024</v>
      </c>
      <c r="C197" t="s">
        <v>10</v>
      </c>
      <c r="D197" t="s">
        <v>17</v>
      </c>
      <c r="E197" t="s">
        <v>14</v>
      </c>
      <c r="F197">
        <v>4943.3999999999996</v>
      </c>
      <c r="G197">
        <v>289</v>
      </c>
      <c r="H197">
        <v>206</v>
      </c>
      <c r="I197">
        <v>16424</v>
      </c>
      <c r="J197">
        <v>415.1</v>
      </c>
      <c r="K197">
        <f t="shared" si="3"/>
        <v>495</v>
      </c>
    </row>
    <row r="198" spans="1:11" x14ac:dyDescent="0.3">
      <c r="A198" s="2">
        <v>45292</v>
      </c>
      <c r="B198">
        <v>2024</v>
      </c>
      <c r="C198" t="s">
        <v>10</v>
      </c>
      <c r="D198" t="s">
        <v>18</v>
      </c>
      <c r="E198" t="s">
        <v>19</v>
      </c>
      <c r="F198">
        <v>7911.1</v>
      </c>
      <c r="G198">
        <v>494</v>
      </c>
      <c r="H198">
        <v>373</v>
      </c>
      <c r="I198">
        <v>14594</v>
      </c>
      <c r="J198">
        <v>348.1</v>
      </c>
      <c r="K198">
        <f t="shared" si="3"/>
        <v>867</v>
      </c>
    </row>
    <row r="199" spans="1:11" x14ac:dyDescent="0.3">
      <c r="A199" s="2">
        <v>45292</v>
      </c>
      <c r="B199">
        <v>2024</v>
      </c>
      <c r="C199" t="s">
        <v>10</v>
      </c>
      <c r="D199" t="s">
        <v>20</v>
      </c>
      <c r="E199" t="s">
        <v>14</v>
      </c>
      <c r="F199">
        <v>7381.2</v>
      </c>
      <c r="G199">
        <v>218</v>
      </c>
      <c r="H199">
        <v>34</v>
      </c>
      <c r="I199">
        <v>10929</v>
      </c>
      <c r="J199">
        <v>1599.2</v>
      </c>
      <c r="K199">
        <f t="shared" si="3"/>
        <v>252</v>
      </c>
    </row>
    <row r="200" spans="1:11" x14ac:dyDescent="0.3">
      <c r="A200" s="2">
        <v>45292</v>
      </c>
      <c r="B200">
        <v>2024</v>
      </c>
      <c r="C200" t="s">
        <v>10</v>
      </c>
      <c r="D200" t="s">
        <v>21</v>
      </c>
      <c r="E200" t="s">
        <v>19</v>
      </c>
      <c r="F200">
        <v>5057.1000000000004</v>
      </c>
      <c r="G200">
        <v>455</v>
      </c>
      <c r="H200">
        <v>398</v>
      </c>
      <c r="I200">
        <v>7146</v>
      </c>
      <c r="J200">
        <v>1851.4</v>
      </c>
      <c r="K200">
        <f t="shared" si="3"/>
        <v>853</v>
      </c>
    </row>
    <row r="201" spans="1:11" x14ac:dyDescent="0.3">
      <c r="A201" s="2">
        <v>45292</v>
      </c>
      <c r="B201">
        <v>2024</v>
      </c>
      <c r="C201" t="s">
        <v>10</v>
      </c>
      <c r="D201" t="s">
        <v>22</v>
      </c>
      <c r="E201" t="s">
        <v>19</v>
      </c>
      <c r="F201">
        <v>3616.3</v>
      </c>
      <c r="G201">
        <v>390</v>
      </c>
      <c r="H201">
        <v>11</v>
      </c>
      <c r="I201">
        <v>29807</v>
      </c>
      <c r="J201">
        <v>597.70000000000005</v>
      </c>
      <c r="K201">
        <f t="shared" si="3"/>
        <v>401</v>
      </c>
    </row>
    <row r="202" spans="1:11" x14ac:dyDescent="0.3">
      <c r="A202" s="2">
        <v>45323</v>
      </c>
      <c r="B202">
        <v>2024</v>
      </c>
      <c r="C202" t="s">
        <v>23</v>
      </c>
      <c r="D202" t="s">
        <v>11</v>
      </c>
      <c r="E202" t="s">
        <v>12</v>
      </c>
      <c r="F202">
        <v>684.1</v>
      </c>
      <c r="G202">
        <v>285</v>
      </c>
      <c r="H202">
        <v>73</v>
      </c>
      <c r="I202">
        <v>5417</v>
      </c>
      <c r="J202">
        <v>1283</v>
      </c>
      <c r="K202">
        <f t="shared" si="3"/>
        <v>358</v>
      </c>
    </row>
    <row r="203" spans="1:11" x14ac:dyDescent="0.3">
      <c r="A203" s="2">
        <v>45323</v>
      </c>
      <c r="B203">
        <v>2024</v>
      </c>
      <c r="C203" t="s">
        <v>23</v>
      </c>
      <c r="D203" t="s">
        <v>13</v>
      </c>
      <c r="E203" t="s">
        <v>14</v>
      </c>
      <c r="F203">
        <v>3264.8</v>
      </c>
      <c r="G203">
        <v>554</v>
      </c>
      <c r="H203">
        <v>166</v>
      </c>
      <c r="I203">
        <v>22059</v>
      </c>
      <c r="J203">
        <v>949.1</v>
      </c>
      <c r="K203">
        <f t="shared" si="3"/>
        <v>720</v>
      </c>
    </row>
    <row r="204" spans="1:11" x14ac:dyDescent="0.3">
      <c r="A204" s="2">
        <v>45323</v>
      </c>
      <c r="B204">
        <v>2024</v>
      </c>
      <c r="C204" t="s">
        <v>23</v>
      </c>
      <c r="D204" t="s">
        <v>15</v>
      </c>
      <c r="E204" t="s">
        <v>16</v>
      </c>
      <c r="F204">
        <v>5347.6</v>
      </c>
      <c r="G204">
        <v>367</v>
      </c>
      <c r="H204">
        <v>241</v>
      </c>
      <c r="I204">
        <v>28551</v>
      </c>
      <c r="J204">
        <v>718.3</v>
      </c>
      <c r="K204">
        <f t="shared" si="3"/>
        <v>608</v>
      </c>
    </row>
    <row r="205" spans="1:11" x14ac:dyDescent="0.3">
      <c r="A205" s="2">
        <v>45323</v>
      </c>
      <c r="B205">
        <v>2024</v>
      </c>
      <c r="C205" t="s">
        <v>23</v>
      </c>
      <c r="D205" t="s">
        <v>17</v>
      </c>
      <c r="E205" t="s">
        <v>14</v>
      </c>
      <c r="F205">
        <v>1582.4</v>
      </c>
      <c r="G205">
        <v>413</v>
      </c>
      <c r="H205">
        <v>424</v>
      </c>
      <c r="I205">
        <v>2167</v>
      </c>
      <c r="J205">
        <v>926.8</v>
      </c>
      <c r="K205">
        <f t="shared" si="3"/>
        <v>837</v>
      </c>
    </row>
    <row r="206" spans="1:11" x14ac:dyDescent="0.3">
      <c r="A206" s="2">
        <v>45323</v>
      </c>
      <c r="B206">
        <v>2024</v>
      </c>
      <c r="C206" t="s">
        <v>23</v>
      </c>
      <c r="D206" t="s">
        <v>18</v>
      </c>
      <c r="E206" t="s">
        <v>19</v>
      </c>
      <c r="F206">
        <v>7161.4</v>
      </c>
      <c r="G206">
        <v>454</v>
      </c>
      <c r="H206">
        <v>495</v>
      </c>
      <c r="I206">
        <v>16411</v>
      </c>
      <c r="J206">
        <v>1337</v>
      </c>
      <c r="K206">
        <f t="shared" si="3"/>
        <v>949</v>
      </c>
    </row>
    <row r="207" spans="1:11" x14ac:dyDescent="0.3">
      <c r="A207" s="2">
        <v>45323</v>
      </c>
      <c r="B207">
        <v>2024</v>
      </c>
      <c r="C207" t="s">
        <v>23</v>
      </c>
      <c r="D207" t="s">
        <v>20</v>
      </c>
      <c r="E207" t="s">
        <v>14</v>
      </c>
      <c r="F207">
        <v>2559.3000000000002</v>
      </c>
      <c r="G207">
        <v>569</v>
      </c>
      <c r="H207">
        <v>189</v>
      </c>
      <c r="I207">
        <v>22416</v>
      </c>
      <c r="J207">
        <v>836.1</v>
      </c>
      <c r="K207">
        <f t="shared" si="3"/>
        <v>758</v>
      </c>
    </row>
    <row r="208" spans="1:11" x14ac:dyDescent="0.3">
      <c r="A208" s="2">
        <v>45323</v>
      </c>
      <c r="B208">
        <v>2024</v>
      </c>
      <c r="C208" t="s">
        <v>23</v>
      </c>
      <c r="D208" t="s">
        <v>21</v>
      </c>
      <c r="E208" t="s">
        <v>19</v>
      </c>
      <c r="F208">
        <v>4582.2</v>
      </c>
      <c r="G208">
        <v>437</v>
      </c>
      <c r="H208">
        <v>259</v>
      </c>
      <c r="I208">
        <v>27305</v>
      </c>
      <c r="J208">
        <v>867.6</v>
      </c>
      <c r="K208">
        <f t="shared" si="3"/>
        <v>696</v>
      </c>
    </row>
    <row r="209" spans="1:11" x14ac:dyDescent="0.3">
      <c r="A209" s="2">
        <v>45323</v>
      </c>
      <c r="B209">
        <v>2024</v>
      </c>
      <c r="C209" t="s">
        <v>23</v>
      </c>
      <c r="D209" t="s">
        <v>22</v>
      </c>
      <c r="E209" t="s">
        <v>19</v>
      </c>
      <c r="F209">
        <v>5247.2</v>
      </c>
      <c r="G209">
        <v>218</v>
      </c>
      <c r="H209">
        <v>209</v>
      </c>
      <c r="I209">
        <v>13761</v>
      </c>
      <c r="J209">
        <v>295.3</v>
      </c>
      <c r="K209">
        <f t="shared" si="3"/>
        <v>427</v>
      </c>
    </row>
    <row r="210" spans="1:11" x14ac:dyDescent="0.3">
      <c r="A210" s="2">
        <v>45352</v>
      </c>
      <c r="B210">
        <v>2024</v>
      </c>
      <c r="C210" t="s">
        <v>24</v>
      </c>
      <c r="D210" t="s">
        <v>11</v>
      </c>
      <c r="E210" t="s">
        <v>12</v>
      </c>
      <c r="F210">
        <v>915.4</v>
      </c>
      <c r="G210">
        <v>407</v>
      </c>
      <c r="H210">
        <v>331</v>
      </c>
      <c r="I210">
        <v>20224</v>
      </c>
      <c r="J210">
        <v>88.5</v>
      </c>
      <c r="K210">
        <f t="shared" si="3"/>
        <v>738</v>
      </c>
    </row>
    <row r="211" spans="1:11" x14ac:dyDescent="0.3">
      <c r="A211" s="2">
        <v>45352</v>
      </c>
      <c r="B211">
        <v>2024</v>
      </c>
      <c r="C211" t="s">
        <v>24</v>
      </c>
      <c r="D211" t="s">
        <v>13</v>
      </c>
      <c r="E211" t="s">
        <v>14</v>
      </c>
      <c r="F211">
        <v>2747.1</v>
      </c>
      <c r="G211">
        <v>134</v>
      </c>
      <c r="H211">
        <v>391</v>
      </c>
      <c r="I211">
        <v>25958</v>
      </c>
      <c r="J211">
        <v>531</v>
      </c>
      <c r="K211">
        <f t="shared" si="3"/>
        <v>525</v>
      </c>
    </row>
    <row r="212" spans="1:11" x14ac:dyDescent="0.3">
      <c r="A212" s="2">
        <v>45352</v>
      </c>
      <c r="B212">
        <v>2024</v>
      </c>
      <c r="C212" t="s">
        <v>24</v>
      </c>
      <c r="D212" t="s">
        <v>15</v>
      </c>
      <c r="E212" t="s">
        <v>16</v>
      </c>
      <c r="F212">
        <v>5409.2</v>
      </c>
      <c r="G212">
        <v>95</v>
      </c>
      <c r="H212">
        <v>144</v>
      </c>
      <c r="I212">
        <v>5020</v>
      </c>
      <c r="J212">
        <v>602.9</v>
      </c>
      <c r="K212">
        <f t="shared" si="3"/>
        <v>239</v>
      </c>
    </row>
    <row r="213" spans="1:11" x14ac:dyDescent="0.3">
      <c r="A213" s="2">
        <v>45352</v>
      </c>
      <c r="B213">
        <v>2024</v>
      </c>
      <c r="C213" t="s">
        <v>24</v>
      </c>
      <c r="D213" t="s">
        <v>17</v>
      </c>
      <c r="E213" t="s">
        <v>14</v>
      </c>
      <c r="F213">
        <v>5462.9</v>
      </c>
      <c r="G213">
        <v>547</v>
      </c>
      <c r="H213">
        <v>109</v>
      </c>
      <c r="I213">
        <v>16720</v>
      </c>
      <c r="J213">
        <v>1417.7</v>
      </c>
      <c r="K213">
        <f t="shared" si="3"/>
        <v>656</v>
      </c>
    </row>
    <row r="214" spans="1:11" x14ac:dyDescent="0.3">
      <c r="A214" s="2">
        <v>45352</v>
      </c>
      <c r="B214">
        <v>2024</v>
      </c>
      <c r="C214" t="s">
        <v>24</v>
      </c>
      <c r="D214" t="s">
        <v>18</v>
      </c>
      <c r="E214" t="s">
        <v>19</v>
      </c>
      <c r="F214">
        <v>7632.8</v>
      </c>
      <c r="G214">
        <v>373</v>
      </c>
      <c r="H214">
        <v>135</v>
      </c>
      <c r="I214">
        <v>19138</v>
      </c>
      <c r="J214">
        <v>675</v>
      </c>
      <c r="K214">
        <f t="shared" si="3"/>
        <v>508</v>
      </c>
    </row>
    <row r="215" spans="1:11" x14ac:dyDescent="0.3">
      <c r="A215" s="2">
        <v>45352</v>
      </c>
      <c r="B215">
        <v>2024</v>
      </c>
      <c r="C215" t="s">
        <v>24</v>
      </c>
      <c r="D215" t="s">
        <v>20</v>
      </c>
      <c r="E215" t="s">
        <v>14</v>
      </c>
      <c r="F215">
        <v>7813.8</v>
      </c>
      <c r="G215">
        <v>251</v>
      </c>
      <c r="H215">
        <v>345</v>
      </c>
      <c r="I215">
        <v>1673</v>
      </c>
      <c r="J215">
        <v>830.1</v>
      </c>
      <c r="K215">
        <f t="shared" si="3"/>
        <v>596</v>
      </c>
    </row>
    <row r="216" spans="1:11" x14ac:dyDescent="0.3">
      <c r="A216" s="2">
        <v>45352</v>
      </c>
      <c r="B216">
        <v>2024</v>
      </c>
      <c r="C216" t="s">
        <v>24</v>
      </c>
      <c r="D216" t="s">
        <v>21</v>
      </c>
      <c r="E216" t="s">
        <v>19</v>
      </c>
      <c r="F216">
        <v>7025.8</v>
      </c>
      <c r="G216">
        <v>373</v>
      </c>
      <c r="H216">
        <v>227</v>
      </c>
      <c r="I216">
        <v>28142</v>
      </c>
      <c r="J216">
        <v>1715.3</v>
      </c>
      <c r="K216">
        <f t="shared" si="3"/>
        <v>600</v>
      </c>
    </row>
    <row r="217" spans="1:11" x14ac:dyDescent="0.3">
      <c r="A217" s="2">
        <v>45352</v>
      </c>
      <c r="B217">
        <v>2024</v>
      </c>
      <c r="C217" t="s">
        <v>24</v>
      </c>
      <c r="D217" t="s">
        <v>22</v>
      </c>
      <c r="E217" t="s">
        <v>19</v>
      </c>
      <c r="F217">
        <v>2713.3</v>
      </c>
      <c r="G217">
        <v>335</v>
      </c>
      <c r="H217">
        <v>250</v>
      </c>
      <c r="I217">
        <v>19333</v>
      </c>
      <c r="J217">
        <v>701.5</v>
      </c>
      <c r="K217">
        <f t="shared" si="3"/>
        <v>585</v>
      </c>
    </row>
    <row r="218" spans="1:11" x14ac:dyDescent="0.3">
      <c r="A218" s="2">
        <v>45383</v>
      </c>
      <c r="B218">
        <v>2024</v>
      </c>
      <c r="C218" t="s">
        <v>25</v>
      </c>
      <c r="D218" t="s">
        <v>11</v>
      </c>
      <c r="E218" t="s">
        <v>12</v>
      </c>
      <c r="F218">
        <v>2104.8000000000002</v>
      </c>
      <c r="G218">
        <v>549</v>
      </c>
      <c r="H218">
        <v>462</v>
      </c>
      <c r="I218">
        <v>25456</v>
      </c>
      <c r="J218">
        <v>1957.5</v>
      </c>
      <c r="K218">
        <f t="shared" si="3"/>
        <v>1011</v>
      </c>
    </row>
    <row r="219" spans="1:11" x14ac:dyDescent="0.3">
      <c r="A219" s="2">
        <v>45383</v>
      </c>
      <c r="B219">
        <v>2024</v>
      </c>
      <c r="C219" t="s">
        <v>25</v>
      </c>
      <c r="D219" t="s">
        <v>13</v>
      </c>
      <c r="E219" t="s">
        <v>14</v>
      </c>
      <c r="F219">
        <v>6010.9</v>
      </c>
      <c r="G219">
        <v>463</v>
      </c>
      <c r="H219">
        <v>383</v>
      </c>
      <c r="I219">
        <v>14937</v>
      </c>
      <c r="J219">
        <v>940.1</v>
      </c>
      <c r="K219">
        <f t="shared" si="3"/>
        <v>846</v>
      </c>
    </row>
    <row r="220" spans="1:11" x14ac:dyDescent="0.3">
      <c r="A220" s="2">
        <v>45383</v>
      </c>
      <c r="B220">
        <v>2024</v>
      </c>
      <c r="C220" t="s">
        <v>25</v>
      </c>
      <c r="D220" t="s">
        <v>15</v>
      </c>
      <c r="E220" t="s">
        <v>16</v>
      </c>
      <c r="F220">
        <v>2073.8000000000002</v>
      </c>
      <c r="G220">
        <v>393</v>
      </c>
      <c r="H220">
        <v>151</v>
      </c>
      <c r="I220">
        <v>8476</v>
      </c>
      <c r="J220">
        <v>1192.5999999999999</v>
      </c>
      <c r="K220">
        <f t="shared" si="3"/>
        <v>544</v>
      </c>
    </row>
    <row r="221" spans="1:11" x14ac:dyDescent="0.3">
      <c r="A221" s="2">
        <v>45383</v>
      </c>
      <c r="B221">
        <v>2024</v>
      </c>
      <c r="C221" t="s">
        <v>25</v>
      </c>
      <c r="D221" t="s">
        <v>17</v>
      </c>
      <c r="E221" t="s">
        <v>14</v>
      </c>
      <c r="F221">
        <v>3397.9</v>
      </c>
      <c r="G221">
        <v>146</v>
      </c>
      <c r="H221">
        <v>409</v>
      </c>
      <c r="I221">
        <v>25956</v>
      </c>
      <c r="J221">
        <v>377</v>
      </c>
      <c r="K221">
        <f t="shared" si="3"/>
        <v>555</v>
      </c>
    </row>
    <row r="222" spans="1:11" x14ac:dyDescent="0.3">
      <c r="A222" s="2">
        <v>45383</v>
      </c>
      <c r="B222">
        <v>2024</v>
      </c>
      <c r="C222" t="s">
        <v>25</v>
      </c>
      <c r="D222" t="s">
        <v>18</v>
      </c>
      <c r="E222" t="s">
        <v>19</v>
      </c>
      <c r="F222">
        <v>258.60000000000002</v>
      </c>
      <c r="G222">
        <v>214</v>
      </c>
      <c r="H222">
        <v>400</v>
      </c>
      <c r="I222">
        <v>25336</v>
      </c>
      <c r="J222">
        <v>319.7</v>
      </c>
      <c r="K222">
        <f t="shared" si="3"/>
        <v>614</v>
      </c>
    </row>
    <row r="223" spans="1:11" x14ac:dyDescent="0.3">
      <c r="A223" s="2">
        <v>45383</v>
      </c>
      <c r="B223">
        <v>2024</v>
      </c>
      <c r="C223" t="s">
        <v>25</v>
      </c>
      <c r="D223" t="s">
        <v>20</v>
      </c>
      <c r="E223" t="s">
        <v>14</v>
      </c>
      <c r="F223">
        <v>6239.8</v>
      </c>
      <c r="G223">
        <v>87</v>
      </c>
      <c r="H223">
        <v>201</v>
      </c>
      <c r="I223">
        <v>29959</v>
      </c>
      <c r="J223">
        <v>425.6</v>
      </c>
      <c r="K223">
        <f t="shared" si="3"/>
        <v>288</v>
      </c>
    </row>
    <row r="224" spans="1:11" x14ac:dyDescent="0.3">
      <c r="A224" s="2">
        <v>45383</v>
      </c>
      <c r="B224">
        <v>2024</v>
      </c>
      <c r="C224" t="s">
        <v>25</v>
      </c>
      <c r="D224" t="s">
        <v>21</v>
      </c>
      <c r="E224" t="s">
        <v>19</v>
      </c>
      <c r="F224">
        <v>1400.9</v>
      </c>
      <c r="G224">
        <v>265</v>
      </c>
      <c r="H224">
        <v>313</v>
      </c>
      <c r="I224">
        <v>28054</v>
      </c>
      <c r="J224">
        <v>1962.6</v>
      </c>
      <c r="K224">
        <f t="shared" si="3"/>
        <v>578</v>
      </c>
    </row>
    <row r="225" spans="1:11" x14ac:dyDescent="0.3">
      <c r="A225" s="2">
        <v>45383</v>
      </c>
      <c r="B225">
        <v>2024</v>
      </c>
      <c r="C225" t="s">
        <v>25</v>
      </c>
      <c r="D225" t="s">
        <v>22</v>
      </c>
      <c r="E225" t="s">
        <v>19</v>
      </c>
      <c r="F225">
        <v>743.2</v>
      </c>
      <c r="G225">
        <v>100</v>
      </c>
      <c r="H225">
        <v>397</v>
      </c>
      <c r="I225">
        <v>8848</v>
      </c>
      <c r="J225">
        <v>1775.5</v>
      </c>
      <c r="K225">
        <f t="shared" si="3"/>
        <v>497</v>
      </c>
    </row>
    <row r="226" spans="1:11" x14ac:dyDescent="0.3">
      <c r="A226" s="2">
        <v>45413</v>
      </c>
      <c r="B226">
        <v>2024</v>
      </c>
      <c r="C226" t="s">
        <v>26</v>
      </c>
      <c r="D226" t="s">
        <v>11</v>
      </c>
      <c r="E226" t="s">
        <v>12</v>
      </c>
      <c r="F226">
        <v>5374.9</v>
      </c>
      <c r="G226">
        <v>84</v>
      </c>
      <c r="H226">
        <v>417</v>
      </c>
      <c r="I226">
        <v>6114</v>
      </c>
      <c r="J226">
        <v>875.8</v>
      </c>
      <c r="K226">
        <f t="shared" si="3"/>
        <v>501</v>
      </c>
    </row>
    <row r="227" spans="1:11" x14ac:dyDescent="0.3">
      <c r="A227" s="2">
        <v>45413</v>
      </c>
      <c r="B227">
        <v>2024</v>
      </c>
      <c r="C227" t="s">
        <v>26</v>
      </c>
      <c r="D227" t="s">
        <v>13</v>
      </c>
      <c r="E227" t="s">
        <v>14</v>
      </c>
      <c r="F227">
        <v>4507</v>
      </c>
      <c r="G227">
        <v>310</v>
      </c>
      <c r="H227">
        <v>346</v>
      </c>
      <c r="I227">
        <v>19927</v>
      </c>
      <c r="J227">
        <v>1984.5</v>
      </c>
      <c r="K227">
        <f t="shared" si="3"/>
        <v>656</v>
      </c>
    </row>
    <row r="228" spans="1:11" x14ac:dyDescent="0.3">
      <c r="A228" s="2">
        <v>45413</v>
      </c>
      <c r="B228">
        <v>2024</v>
      </c>
      <c r="C228" t="s">
        <v>26</v>
      </c>
      <c r="D228" t="s">
        <v>15</v>
      </c>
      <c r="E228" t="s">
        <v>16</v>
      </c>
      <c r="F228">
        <v>7995.5</v>
      </c>
      <c r="G228">
        <v>319</v>
      </c>
      <c r="H228">
        <v>56</v>
      </c>
      <c r="I228">
        <v>22107</v>
      </c>
      <c r="J228">
        <v>1954.5</v>
      </c>
      <c r="K228">
        <f t="shared" si="3"/>
        <v>375</v>
      </c>
    </row>
    <row r="229" spans="1:11" x14ac:dyDescent="0.3">
      <c r="A229" s="2">
        <v>45413</v>
      </c>
      <c r="B229">
        <v>2024</v>
      </c>
      <c r="C229" t="s">
        <v>26</v>
      </c>
      <c r="D229" t="s">
        <v>17</v>
      </c>
      <c r="E229" t="s">
        <v>14</v>
      </c>
      <c r="F229">
        <v>2682.9</v>
      </c>
      <c r="G229">
        <v>287</v>
      </c>
      <c r="H229">
        <v>218</v>
      </c>
      <c r="I229">
        <v>2491</v>
      </c>
      <c r="J229">
        <v>1360.9</v>
      </c>
      <c r="K229">
        <f t="shared" si="3"/>
        <v>505</v>
      </c>
    </row>
    <row r="230" spans="1:11" x14ac:dyDescent="0.3">
      <c r="A230" s="2">
        <v>45413</v>
      </c>
      <c r="B230">
        <v>2024</v>
      </c>
      <c r="C230" t="s">
        <v>26</v>
      </c>
      <c r="D230" t="s">
        <v>18</v>
      </c>
      <c r="E230" t="s">
        <v>19</v>
      </c>
      <c r="F230">
        <v>2956</v>
      </c>
      <c r="G230">
        <v>476</v>
      </c>
      <c r="H230">
        <v>417</v>
      </c>
      <c r="I230">
        <v>24815</v>
      </c>
      <c r="J230">
        <v>862.5</v>
      </c>
      <c r="K230">
        <f t="shared" si="3"/>
        <v>893</v>
      </c>
    </row>
    <row r="231" spans="1:11" x14ac:dyDescent="0.3">
      <c r="A231" s="2">
        <v>45413</v>
      </c>
      <c r="B231">
        <v>2024</v>
      </c>
      <c r="C231" t="s">
        <v>26</v>
      </c>
      <c r="D231" t="s">
        <v>20</v>
      </c>
      <c r="E231" t="s">
        <v>14</v>
      </c>
      <c r="F231">
        <v>2708.1</v>
      </c>
      <c r="G231">
        <v>454</v>
      </c>
      <c r="H231">
        <v>402</v>
      </c>
      <c r="I231">
        <v>15246</v>
      </c>
      <c r="J231">
        <v>1791.4</v>
      </c>
      <c r="K231">
        <f t="shared" si="3"/>
        <v>856</v>
      </c>
    </row>
    <row r="232" spans="1:11" x14ac:dyDescent="0.3">
      <c r="A232" s="2">
        <v>45413</v>
      </c>
      <c r="B232">
        <v>2024</v>
      </c>
      <c r="C232" t="s">
        <v>26</v>
      </c>
      <c r="D232" t="s">
        <v>21</v>
      </c>
      <c r="E232" t="s">
        <v>19</v>
      </c>
      <c r="F232">
        <v>1322.5</v>
      </c>
      <c r="G232">
        <v>529</v>
      </c>
      <c r="H232">
        <v>57</v>
      </c>
      <c r="I232">
        <v>5452</v>
      </c>
      <c r="J232">
        <v>1091</v>
      </c>
      <c r="K232">
        <f t="shared" si="3"/>
        <v>586</v>
      </c>
    </row>
    <row r="233" spans="1:11" x14ac:dyDescent="0.3">
      <c r="A233" s="2">
        <v>45413</v>
      </c>
      <c r="B233">
        <v>2024</v>
      </c>
      <c r="C233" t="s">
        <v>26</v>
      </c>
      <c r="D233" t="s">
        <v>22</v>
      </c>
      <c r="E233" t="s">
        <v>19</v>
      </c>
      <c r="F233">
        <v>726.6</v>
      </c>
      <c r="G233">
        <v>50</v>
      </c>
      <c r="H233">
        <v>10</v>
      </c>
      <c r="I233">
        <v>13653</v>
      </c>
      <c r="J233">
        <v>1560.5</v>
      </c>
      <c r="K233">
        <f t="shared" si="3"/>
        <v>60</v>
      </c>
    </row>
    <row r="234" spans="1:11" x14ac:dyDescent="0.3">
      <c r="A234" s="2">
        <v>45444</v>
      </c>
      <c r="B234">
        <v>2024</v>
      </c>
      <c r="C234" t="s">
        <v>27</v>
      </c>
      <c r="D234" t="s">
        <v>11</v>
      </c>
      <c r="E234" t="s">
        <v>12</v>
      </c>
      <c r="F234">
        <v>471.7</v>
      </c>
      <c r="G234">
        <v>398</v>
      </c>
      <c r="H234">
        <v>413</v>
      </c>
      <c r="I234">
        <v>5872</v>
      </c>
      <c r="J234">
        <v>336.4</v>
      </c>
      <c r="K234">
        <f t="shared" si="3"/>
        <v>811</v>
      </c>
    </row>
    <row r="235" spans="1:11" x14ac:dyDescent="0.3">
      <c r="A235" s="2">
        <v>45444</v>
      </c>
      <c r="B235">
        <v>2024</v>
      </c>
      <c r="C235" t="s">
        <v>27</v>
      </c>
      <c r="D235" t="s">
        <v>13</v>
      </c>
      <c r="E235" t="s">
        <v>14</v>
      </c>
      <c r="F235">
        <v>6914.2</v>
      </c>
      <c r="G235">
        <v>497</v>
      </c>
      <c r="H235">
        <v>274</v>
      </c>
      <c r="I235">
        <v>24756</v>
      </c>
      <c r="J235">
        <v>230.9</v>
      </c>
      <c r="K235">
        <f t="shared" si="3"/>
        <v>771</v>
      </c>
    </row>
    <row r="236" spans="1:11" x14ac:dyDescent="0.3">
      <c r="A236" s="2">
        <v>45444</v>
      </c>
      <c r="B236">
        <v>2024</v>
      </c>
      <c r="C236" t="s">
        <v>27</v>
      </c>
      <c r="D236" t="s">
        <v>15</v>
      </c>
      <c r="E236" t="s">
        <v>16</v>
      </c>
      <c r="F236">
        <v>3277</v>
      </c>
      <c r="G236">
        <v>447</v>
      </c>
      <c r="H236">
        <v>136</v>
      </c>
      <c r="I236">
        <v>22817</v>
      </c>
      <c r="J236">
        <v>1033.0999999999999</v>
      </c>
      <c r="K236">
        <f t="shared" si="3"/>
        <v>583</v>
      </c>
    </row>
    <row r="237" spans="1:11" x14ac:dyDescent="0.3">
      <c r="A237" s="2">
        <v>45444</v>
      </c>
      <c r="B237">
        <v>2024</v>
      </c>
      <c r="C237" t="s">
        <v>27</v>
      </c>
      <c r="D237" t="s">
        <v>17</v>
      </c>
      <c r="E237" t="s">
        <v>14</v>
      </c>
      <c r="F237">
        <v>6052.1</v>
      </c>
      <c r="G237">
        <v>289</v>
      </c>
      <c r="H237">
        <v>190</v>
      </c>
      <c r="I237">
        <v>7356</v>
      </c>
      <c r="J237">
        <v>456.3</v>
      </c>
      <c r="K237">
        <f t="shared" si="3"/>
        <v>479</v>
      </c>
    </row>
    <row r="238" spans="1:11" x14ac:dyDescent="0.3">
      <c r="A238" s="2">
        <v>45444</v>
      </c>
      <c r="B238">
        <v>2024</v>
      </c>
      <c r="C238" t="s">
        <v>27</v>
      </c>
      <c r="D238" t="s">
        <v>18</v>
      </c>
      <c r="E238" t="s">
        <v>19</v>
      </c>
      <c r="F238">
        <v>6061.6</v>
      </c>
      <c r="G238">
        <v>88</v>
      </c>
      <c r="H238">
        <v>52</v>
      </c>
      <c r="I238">
        <v>6112</v>
      </c>
      <c r="J238">
        <v>391.9</v>
      </c>
      <c r="K238">
        <f t="shared" si="3"/>
        <v>140</v>
      </c>
    </row>
    <row r="239" spans="1:11" x14ac:dyDescent="0.3">
      <c r="A239" s="2">
        <v>45444</v>
      </c>
      <c r="B239">
        <v>2024</v>
      </c>
      <c r="C239" t="s">
        <v>27</v>
      </c>
      <c r="D239" t="s">
        <v>20</v>
      </c>
      <c r="E239" t="s">
        <v>14</v>
      </c>
      <c r="F239">
        <v>6620.2</v>
      </c>
      <c r="G239">
        <v>251</v>
      </c>
      <c r="H239">
        <v>495</v>
      </c>
      <c r="I239">
        <v>4979</v>
      </c>
      <c r="J239">
        <v>1324.4</v>
      </c>
      <c r="K239">
        <f t="shared" si="3"/>
        <v>746</v>
      </c>
    </row>
    <row r="240" spans="1:11" x14ac:dyDescent="0.3">
      <c r="A240" s="2">
        <v>45444</v>
      </c>
      <c r="B240">
        <v>2024</v>
      </c>
      <c r="C240" t="s">
        <v>27</v>
      </c>
      <c r="D240" t="s">
        <v>21</v>
      </c>
      <c r="E240" t="s">
        <v>19</v>
      </c>
      <c r="F240">
        <v>3700.1</v>
      </c>
      <c r="G240">
        <v>247</v>
      </c>
      <c r="H240">
        <v>438</v>
      </c>
      <c r="I240">
        <v>29292</v>
      </c>
      <c r="J240">
        <v>1752.1</v>
      </c>
      <c r="K240">
        <f t="shared" si="3"/>
        <v>685</v>
      </c>
    </row>
    <row r="241" spans="1:11" x14ac:dyDescent="0.3">
      <c r="A241" s="2">
        <v>45444</v>
      </c>
      <c r="B241">
        <v>2024</v>
      </c>
      <c r="C241" t="s">
        <v>27</v>
      </c>
      <c r="D241" t="s">
        <v>22</v>
      </c>
      <c r="E241" t="s">
        <v>19</v>
      </c>
      <c r="F241">
        <v>1699.9</v>
      </c>
      <c r="G241">
        <v>148</v>
      </c>
      <c r="H241">
        <v>331</v>
      </c>
      <c r="I241">
        <v>9383</v>
      </c>
      <c r="J241">
        <v>1482.7</v>
      </c>
      <c r="K241">
        <f t="shared" si="3"/>
        <v>479</v>
      </c>
    </row>
    <row r="242" spans="1:11" x14ac:dyDescent="0.3">
      <c r="A242" s="2">
        <v>45474</v>
      </c>
      <c r="B242">
        <v>2024</v>
      </c>
      <c r="C242" t="s">
        <v>28</v>
      </c>
      <c r="D242" t="s">
        <v>11</v>
      </c>
      <c r="E242" t="s">
        <v>12</v>
      </c>
      <c r="F242">
        <v>4618.1000000000004</v>
      </c>
      <c r="G242">
        <v>339</v>
      </c>
      <c r="H242">
        <v>415</v>
      </c>
      <c r="I242">
        <v>21605</v>
      </c>
      <c r="J242">
        <v>101.8</v>
      </c>
      <c r="K242">
        <f t="shared" si="3"/>
        <v>754</v>
      </c>
    </row>
    <row r="243" spans="1:11" x14ac:dyDescent="0.3">
      <c r="A243" s="2">
        <v>45474</v>
      </c>
      <c r="B243">
        <v>2024</v>
      </c>
      <c r="C243" t="s">
        <v>28</v>
      </c>
      <c r="D243" t="s">
        <v>13</v>
      </c>
      <c r="E243" t="s">
        <v>14</v>
      </c>
      <c r="F243">
        <v>585.79999999999995</v>
      </c>
      <c r="G243">
        <v>368</v>
      </c>
      <c r="H243">
        <v>248</v>
      </c>
      <c r="I243">
        <v>8545</v>
      </c>
      <c r="J243">
        <v>866.4</v>
      </c>
      <c r="K243">
        <f t="shared" si="3"/>
        <v>616</v>
      </c>
    </row>
    <row r="244" spans="1:11" x14ac:dyDescent="0.3">
      <c r="A244" s="2">
        <v>45474</v>
      </c>
      <c r="B244">
        <v>2024</v>
      </c>
      <c r="C244" t="s">
        <v>28</v>
      </c>
      <c r="D244" t="s">
        <v>15</v>
      </c>
      <c r="E244" t="s">
        <v>16</v>
      </c>
      <c r="F244">
        <v>6111.7</v>
      </c>
      <c r="G244">
        <v>499</v>
      </c>
      <c r="H244">
        <v>284</v>
      </c>
      <c r="I244">
        <v>12175</v>
      </c>
      <c r="J244">
        <v>577.9</v>
      </c>
      <c r="K244">
        <f t="shared" si="3"/>
        <v>783</v>
      </c>
    </row>
    <row r="245" spans="1:11" x14ac:dyDescent="0.3">
      <c r="A245" s="2">
        <v>45474</v>
      </c>
      <c r="B245">
        <v>2024</v>
      </c>
      <c r="C245" t="s">
        <v>28</v>
      </c>
      <c r="D245" t="s">
        <v>17</v>
      </c>
      <c r="E245" t="s">
        <v>14</v>
      </c>
      <c r="F245">
        <v>4271</v>
      </c>
      <c r="G245">
        <v>202</v>
      </c>
      <c r="H245">
        <v>286</v>
      </c>
      <c r="I245">
        <v>20622</v>
      </c>
      <c r="J245">
        <v>178.9</v>
      </c>
      <c r="K245">
        <f t="shared" si="3"/>
        <v>488</v>
      </c>
    </row>
    <row r="246" spans="1:11" x14ac:dyDescent="0.3">
      <c r="A246" s="2">
        <v>45474</v>
      </c>
      <c r="B246">
        <v>2024</v>
      </c>
      <c r="C246" t="s">
        <v>28</v>
      </c>
      <c r="D246" t="s">
        <v>18</v>
      </c>
      <c r="E246" t="s">
        <v>19</v>
      </c>
      <c r="F246">
        <v>208.3</v>
      </c>
      <c r="G246">
        <v>143</v>
      </c>
      <c r="H246">
        <v>448</v>
      </c>
      <c r="I246">
        <v>19742</v>
      </c>
      <c r="J246">
        <v>385.3</v>
      </c>
      <c r="K246">
        <f t="shared" si="3"/>
        <v>591</v>
      </c>
    </row>
    <row r="247" spans="1:11" x14ac:dyDescent="0.3">
      <c r="A247" s="2">
        <v>45474</v>
      </c>
      <c r="B247">
        <v>2024</v>
      </c>
      <c r="C247" t="s">
        <v>28</v>
      </c>
      <c r="D247" t="s">
        <v>20</v>
      </c>
      <c r="E247" t="s">
        <v>14</v>
      </c>
      <c r="F247">
        <v>7144.1</v>
      </c>
      <c r="G247">
        <v>292</v>
      </c>
      <c r="H247">
        <v>243</v>
      </c>
      <c r="I247">
        <v>28130</v>
      </c>
      <c r="J247">
        <v>166</v>
      </c>
      <c r="K247">
        <f t="shared" si="3"/>
        <v>535</v>
      </c>
    </row>
    <row r="248" spans="1:11" x14ac:dyDescent="0.3">
      <c r="A248" s="2">
        <v>45474</v>
      </c>
      <c r="B248">
        <v>2024</v>
      </c>
      <c r="C248" t="s">
        <v>28</v>
      </c>
      <c r="D248" t="s">
        <v>21</v>
      </c>
      <c r="E248" t="s">
        <v>19</v>
      </c>
      <c r="F248">
        <v>1878.4</v>
      </c>
      <c r="G248">
        <v>359</v>
      </c>
      <c r="H248">
        <v>105</v>
      </c>
      <c r="I248">
        <v>20706</v>
      </c>
      <c r="J248">
        <v>467.5</v>
      </c>
      <c r="K248">
        <f t="shared" si="3"/>
        <v>464</v>
      </c>
    </row>
    <row r="249" spans="1:11" x14ac:dyDescent="0.3">
      <c r="A249" s="2">
        <v>45474</v>
      </c>
      <c r="B249">
        <v>2024</v>
      </c>
      <c r="C249" t="s">
        <v>28</v>
      </c>
      <c r="D249" t="s">
        <v>22</v>
      </c>
      <c r="E249" t="s">
        <v>19</v>
      </c>
      <c r="F249">
        <v>973.4</v>
      </c>
      <c r="G249">
        <v>140</v>
      </c>
      <c r="H249">
        <v>217</v>
      </c>
      <c r="I249">
        <v>6108</v>
      </c>
      <c r="J249">
        <v>312.60000000000002</v>
      </c>
      <c r="K249">
        <f t="shared" si="3"/>
        <v>357</v>
      </c>
    </row>
    <row r="250" spans="1:11" x14ac:dyDescent="0.3">
      <c r="A250" s="2">
        <v>45505</v>
      </c>
      <c r="B250">
        <v>2024</v>
      </c>
      <c r="C250" t="s">
        <v>29</v>
      </c>
      <c r="D250" t="s">
        <v>11</v>
      </c>
      <c r="E250" t="s">
        <v>12</v>
      </c>
      <c r="F250">
        <v>6910.2</v>
      </c>
      <c r="G250">
        <v>205</v>
      </c>
      <c r="H250">
        <v>186</v>
      </c>
      <c r="I250">
        <v>2602</v>
      </c>
      <c r="J250">
        <v>746.9</v>
      </c>
      <c r="K250">
        <f t="shared" si="3"/>
        <v>391</v>
      </c>
    </row>
    <row r="251" spans="1:11" x14ac:dyDescent="0.3">
      <c r="A251" s="2">
        <v>45505</v>
      </c>
      <c r="B251">
        <v>2024</v>
      </c>
      <c r="C251" t="s">
        <v>29</v>
      </c>
      <c r="D251" t="s">
        <v>13</v>
      </c>
      <c r="E251" t="s">
        <v>14</v>
      </c>
      <c r="F251">
        <v>2265.5</v>
      </c>
      <c r="G251">
        <v>374</v>
      </c>
      <c r="H251">
        <v>110</v>
      </c>
      <c r="I251">
        <v>26762</v>
      </c>
      <c r="J251">
        <v>1862.8</v>
      </c>
      <c r="K251">
        <f t="shared" si="3"/>
        <v>484</v>
      </c>
    </row>
    <row r="252" spans="1:11" x14ac:dyDescent="0.3">
      <c r="A252" s="2">
        <v>45505</v>
      </c>
      <c r="B252">
        <v>2024</v>
      </c>
      <c r="C252" t="s">
        <v>29</v>
      </c>
      <c r="D252" t="s">
        <v>15</v>
      </c>
      <c r="E252" t="s">
        <v>16</v>
      </c>
      <c r="F252">
        <v>978.7</v>
      </c>
      <c r="G252">
        <v>82</v>
      </c>
      <c r="H252">
        <v>66</v>
      </c>
      <c r="I252">
        <v>18967</v>
      </c>
      <c r="J252">
        <v>287.8</v>
      </c>
      <c r="K252">
        <f t="shared" si="3"/>
        <v>148</v>
      </c>
    </row>
    <row r="253" spans="1:11" x14ac:dyDescent="0.3">
      <c r="A253" s="2">
        <v>45505</v>
      </c>
      <c r="B253">
        <v>2024</v>
      </c>
      <c r="C253" t="s">
        <v>29</v>
      </c>
      <c r="D253" t="s">
        <v>17</v>
      </c>
      <c r="E253" t="s">
        <v>14</v>
      </c>
      <c r="F253">
        <v>6848.6</v>
      </c>
      <c r="G253">
        <v>457</v>
      </c>
      <c r="H253">
        <v>411</v>
      </c>
      <c r="I253">
        <v>16255</v>
      </c>
      <c r="J253">
        <v>1993.5</v>
      </c>
      <c r="K253">
        <f t="shared" si="3"/>
        <v>868</v>
      </c>
    </row>
    <row r="254" spans="1:11" x14ac:dyDescent="0.3">
      <c r="A254" s="2">
        <v>45505</v>
      </c>
      <c r="B254">
        <v>2024</v>
      </c>
      <c r="C254" t="s">
        <v>29</v>
      </c>
      <c r="D254" t="s">
        <v>18</v>
      </c>
      <c r="E254" t="s">
        <v>19</v>
      </c>
      <c r="F254">
        <v>544.6</v>
      </c>
      <c r="G254">
        <v>252</v>
      </c>
      <c r="H254">
        <v>168</v>
      </c>
      <c r="I254">
        <v>28510</v>
      </c>
      <c r="J254">
        <v>1174.9000000000001</v>
      </c>
      <c r="K254">
        <f t="shared" si="3"/>
        <v>420</v>
      </c>
    </row>
    <row r="255" spans="1:11" x14ac:dyDescent="0.3">
      <c r="A255" s="2">
        <v>45505</v>
      </c>
      <c r="B255">
        <v>2024</v>
      </c>
      <c r="C255" t="s">
        <v>29</v>
      </c>
      <c r="D255" t="s">
        <v>20</v>
      </c>
      <c r="E255" t="s">
        <v>14</v>
      </c>
      <c r="F255">
        <v>6488.3</v>
      </c>
      <c r="G255">
        <v>118</v>
      </c>
      <c r="H255">
        <v>489</v>
      </c>
      <c r="I255">
        <v>15460</v>
      </c>
      <c r="J255">
        <v>1012.7</v>
      </c>
      <c r="K255">
        <f t="shared" si="3"/>
        <v>607</v>
      </c>
    </row>
    <row r="256" spans="1:11" x14ac:dyDescent="0.3">
      <c r="A256" s="2">
        <v>45505</v>
      </c>
      <c r="B256">
        <v>2024</v>
      </c>
      <c r="C256" t="s">
        <v>29</v>
      </c>
      <c r="D256" t="s">
        <v>21</v>
      </c>
      <c r="E256" t="s">
        <v>19</v>
      </c>
      <c r="F256">
        <v>7772.9</v>
      </c>
      <c r="G256">
        <v>240</v>
      </c>
      <c r="H256">
        <v>204</v>
      </c>
      <c r="I256">
        <v>17957</v>
      </c>
      <c r="J256">
        <v>299.7</v>
      </c>
      <c r="K256">
        <f t="shared" si="3"/>
        <v>444</v>
      </c>
    </row>
    <row r="257" spans="1:11" x14ac:dyDescent="0.3">
      <c r="A257" s="2">
        <v>45505</v>
      </c>
      <c r="B257">
        <v>2024</v>
      </c>
      <c r="C257" t="s">
        <v>29</v>
      </c>
      <c r="D257" t="s">
        <v>22</v>
      </c>
      <c r="E257" t="s">
        <v>19</v>
      </c>
      <c r="F257">
        <v>2704.5</v>
      </c>
      <c r="G257">
        <v>132</v>
      </c>
      <c r="H257">
        <v>60</v>
      </c>
      <c r="I257">
        <v>26118</v>
      </c>
      <c r="J257">
        <v>1199.2</v>
      </c>
      <c r="K257">
        <f t="shared" si="3"/>
        <v>192</v>
      </c>
    </row>
    <row r="258" spans="1:11" x14ac:dyDescent="0.3">
      <c r="A258" s="2">
        <v>45536</v>
      </c>
      <c r="B258">
        <v>2024</v>
      </c>
      <c r="C258" t="s">
        <v>30</v>
      </c>
      <c r="D258" t="s">
        <v>11</v>
      </c>
      <c r="E258" t="s">
        <v>12</v>
      </c>
      <c r="F258">
        <v>2997.6</v>
      </c>
      <c r="G258">
        <v>257</v>
      </c>
      <c r="H258">
        <v>221</v>
      </c>
      <c r="I258">
        <v>19361</v>
      </c>
      <c r="J258">
        <v>1857.2</v>
      </c>
      <c r="K258">
        <f t="shared" si="3"/>
        <v>478</v>
      </c>
    </row>
    <row r="259" spans="1:11" x14ac:dyDescent="0.3">
      <c r="A259" s="2">
        <v>45536</v>
      </c>
      <c r="B259">
        <v>2024</v>
      </c>
      <c r="C259" t="s">
        <v>30</v>
      </c>
      <c r="D259" t="s">
        <v>13</v>
      </c>
      <c r="E259" t="s">
        <v>14</v>
      </c>
      <c r="F259">
        <v>7475.7</v>
      </c>
      <c r="G259">
        <v>247</v>
      </c>
      <c r="H259">
        <v>171</v>
      </c>
      <c r="I259">
        <v>14080</v>
      </c>
      <c r="J259">
        <v>1157.5</v>
      </c>
      <c r="K259">
        <f t="shared" ref="K259:K322" si="4">(G259+H259)</f>
        <v>418</v>
      </c>
    </row>
    <row r="260" spans="1:11" x14ac:dyDescent="0.3">
      <c r="A260" s="2">
        <v>45536</v>
      </c>
      <c r="B260">
        <v>2024</v>
      </c>
      <c r="C260" t="s">
        <v>30</v>
      </c>
      <c r="D260" t="s">
        <v>15</v>
      </c>
      <c r="E260" t="s">
        <v>16</v>
      </c>
      <c r="F260">
        <v>3802.2</v>
      </c>
      <c r="G260">
        <v>402</v>
      </c>
      <c r="H260">
        <v>281</v>
      </c>
      <c r="I260">
        <v>10300</v>
      </c>
      <c r="J260">
        <v>724.2</v>
      </c>
      <c r="K260">
        <f t="shared" si="4"/>
        <v>683</v>
      </c>
    </row>
    <row r="261" spans="1:11" x14ac:dyDescent="0.3">
      <c r="A261" s="2">
        <v>45536</v>
      </c>
      <c r="B261">
        <v>2024</v>
      </c>
      <c r="C261" t="s">
        <v>30</v>
      </c>
      <c r="D261" t="s">
        <v>17</v>
      </c>
      <c r="E261" t="s">
        <v>14</v>
      </c>
      <c r="F261">
        <v>3153</v>
      </c>
      <c r="G261">
        <v>74</v>
      </c>
      <c r="H261">
        <v>91</v>
      </c>
      <c r="I261">
        <v>21970</v>
      </c>
      <c r="J261">
        <v>808.7</v>
      </c>
      <c r="K261">
        <f t="shared" si="4"/>
        <v>165</v>
      </c>
    </row>
    <row r="262" spans="1:11" x14ac:dyDescent="0.3">
      <c r="A262" s="2">
        <v>45536</v>
      </c>
      <c r="B262">
        <v>2024</v>
      </c>
      <c r="C262" t="s">
        <v>30</v>
      </c>
      <c r="D262" t="s">
        <v>18</v>
      </c>
      <c r="E262" t="s">
        <v>19</v>
      </c>
      <c r="F262">
        <v>1873.4</v>
      </c>
      <c r="G262">
        <v>346</v>
      </c>
      <c r="H262">
        <v>380</v>
      </c>
      <c r="I262">
        <v>8465</v>
      </c>
      <c r="J262">
        <v>1662.2</v>
      </c>
      <c r="K262">
        <f t="shared" si="4"/>
        <v>726</v>
      </c>
    </row>
    <row r="263" spans="1:11" x14ac:dyDescent="0.3">
      <c r="A263" s="2">
        <v>45536</v>
      </c>
      <c r="B263">
        <v>2024</v>
      </c>
      <c r="C263" t="s">
        <v>30</v>
      </c>
      <c r="D263" t="s">
        <v>20</v>
      </c>
      <c r="E263" t="s">
        <v>14</v>
      </c>
      <c r="F263">
        <v>7434.5</v>
      </c>
      <c r="G263">
        <v>366</v>
      </c>
      <c r="H263">
        <v>337</v>
      </c>
      <c r="I263">
        <v>2524</v>
      </c>
      <c r="J263">
        <v>1893.8</v>
      </c>
      <c r="K263">
        <f t="shared" si="4"/>
        <v>703</v>
      </c>
    </row>
    <row r="264" spans="1:11" x14ac:dyDescent="0.3">
      <c r="A264" s="2">
        <v>45536</v>
      </c>
      <c r="B264">
        <v>2024</v>
      </c>
      <c r="C264" t="s">
        <v>30</v>
      </c>
      <c r="D264" t="s">
        <v>21</v>
      </c>
      <c r="E264" t="s">
        <v>19</v>
      </c>
      <c r="F264">
        <v>3261.4</v>
      </c>
      <c r="G264">
        <v>555</v>
      </c>
      <c r="H264">
        <v>293</v>
      </c>
      <c r="I264">
        <v>1133</v>
      </c>
      <c r="J264">
        <v>125.2</v>
      </c>
      <c r="K264">
        <f t="shared" si="4"/>
        <v>848</v>
      </c>
    </row>
    <row r="265" spans="1:11" x14ac:dyDescent="0.3">
      <c r="A265" s="2">
        <v>45536</v>
      </c>
      <c r="B265">
        <v>2024</v>
      </c>
      <c r="C265" t="s">
        <v>30</v>
      </c>
      <c r="D265" t="s">
        <v>22</v>
      </c>
      <c r="E265" t="s">
        <v>19</v>
      </c>
      <c r="F265">
        <v>5507.3</v>
      </c>
      <c r="G265">
        <v>346</v>
      </c>
      <c r="H265">
        <v>23</v>
      </c>
      <c r="I265">
        <v>22560</v>
      </c>
      <c r="J265">
        <v>1711.7</v>
      </c>
      <c r="K265">
        <f t="shared" si="4"/>
        <v>369</v>
      </c>
    </row>
    <row r="266" spans="1:11" x14ac:dyDescent="0.3">
      <c r="A266" s="2">
        <v>45566</v>
      </c>
      <c r="B266">
        <v>2024</v>
      </c>
      <c r="C266" t="s">
        <v>31</v>
      </c>
      <c r="D266" t="s">
        <v>11</v>
      </c>
      <c r="E266" t="s">
        <v>12</v>
      </c>
      <c r="F266">
        <v>4072.1</v>
      </c>
      <c r="G266">
        <v>290</v>
      </c>
      <c r="H266">
        <v>12</v>
      </c>
      <c r="I266">
        <v>23812</v>
      </c>
      <c r="J266">
        <v>694.9</v>
      </c>
      <c r="K266">
        <f t="shared" si="4"/>
        <v>302</v>
      </c>
    </row>
    <row r="267" spans="1:11" x14ac:dyDescent="0.3">
      <c r="A267" s="2">
        <v>45566</v>
      </c>
      <c r="B267">
        <v>2024</v>
      </c>
      <c r="C267" t="s">
        <v>31</v>
      </c>
      <c r="D267" t="s">
        <v>13</v>
      </c>
      <c r="E267" t="s">
        <v>14</v>
      </c>
      <c r="F267">
        <v>7054.4</v>
      </c>
      <c r="G267">
        <v>236</v>
      </c>
      <c r="H267">
        <v>286</v>
      </c>
      <c r="I267">
        <v>8839</v>
      </c>
      <c r="J267">
        <v>363.1</v>
      </c>
      <c r="K267">
        <f t="shared" si="4"/>
        <v>522</v>
      </c>
    </row>
    <row r="268" spans="1:11" x14ac:dyDescent="0.3">
      <c r="A268" s="2">
        <v>45566</v>
      </c>
      <c r="B268">
        <v>2024</v>
      </c>
      <c r="C268" t="s">
        <v>31</v>
      </c>
      <c r="D268" t="s">
        <v>15</v>
      </c>
      <c r="E268" t="s">
        <v>16</v>
      </c>
      <c r="F268">
        <v>6244.3</v>
      </c>
      <c r="G268">
        <v>308</v>
      </c>
      <c r="H268">
        <v>272</v>
      </c>
      <c r="I268">
        <v>28997</v>
      </c>
      <c r="J268">
        <v>1929</v>
      </c>
      <c r="K268">
        <f t="shared" si="4"/>
        <v>580</v>
      </c>
    </row>
    <row r="269" spans="1:11" x14ac:dyDescent="0.3">
      <c r="A269" s="2">
        <v>45566</v>
      </c>
      <c r="B269">
        <v>2024</v>
      </c>
      <c r="C269" t="s">
        <v>31</v>
      </c>
      <c r="D269" t="s">
        <v>17</v>
      </c>
      <c r="E269" t="s">
        <v>14</v>
      </c>
      <c r="F269">
        <v>6874</v>
      </c>
      <c r="G269">
        <v>128</v>
      </c>
      <c r="H269">
        <v>301</v>
      </c>
      <c r="I269">
        <v>26466</v>
      </c>
      <c r="J269">
        <v>780.2</v>
      </c>
      <c r="K269">
        <f t="shared" si="4"/>
        <v>429</v>
      </c>
    </row>
    <row r="270" spans="1:11" x14ac:dyDescent="0.3">
      <c r="A270" s="2">
        <v>45566</v>
      </c>
      <c r="B270">
        <v>2024</v>
      </c>
      <c r="C270" t="s">
        <v>31</v>
      </c>
      <c r="D270" t="s">
        <v>18</v>
      </c>
      <c r="E270" t="s">
        <v>19</v>
      </c>
      <c r="F270">
        <v>988.6</v>
      </c>
      <c r="G270">
        <v>490</v>
      </c>
      <c r="H270">
        <v>246</v>
      </c>
      <c r="I270">
        <v>17367</v>
      </c>
      <c r="J270">
        <v>1965.2</v>
      </c>
      <c r="K270">
        <f t="shared" si="4"/>
        <v>736</v>
      </c>
    </row>
    <row r="271" spans="1:11" x14ac:dyDescent="0.3">
      <c r="A271" s="2">
        <v>45566</v>
      </c>
      <c r="B271">
        <v>2024</v>
      </c>
      <c r="C271" t="s">
        <v>31</v>
      </c>
      <c r="D271" t="s">
        <v>20</v>
      </c>
      <c r="E271" t="s">
        <v>14</v>
      </c>
      <c r="F271">
        <v>4936.2</v>
      </c>
      <c r="G271">
        <v>266</v>
      </c>
      <c r="H271">
        <v>191</v>
      </c>
      <c r="I271">
        <v>13110</v>
      </c>
      <c r="J271">
        <v>280.89999999999998</v>
      </c>
      <c r="K271">
        <f t="shared" si="4"/>
        <v>457</v>
      </c>
    </row>
    <row r="272" spans="1:11" x14ac:dyDescent="0.3">
      <c r="A272" s="2">
        <v>45566</v>
      </c>
      <c r="B272">
        <v>2024</v>
      </c>
      <c r="C272" t="s">
        <v>31</v>
      </c>
      <c r="D272" t="s">
        <v>21</v>
      </c>
      <c r="E272" t="s">
        <v>19</v>
      </c>
      <c r="F272">
        <v>6399.1</v>
      </c>
      <c r="G272">
        <v>505</v>
      </c>
      <c r="H272">
        <v>149</v>
      </c>
      <c r="I272">
        <v>9810</v>
      </c>
      <c r="J272">
        <v>1755</v>
      </c>
      <c r="K272">
        <f t="shared" si="4"/>
        <v>654</v>
      </c>
    </row>
    <row r="273" spans="1:11" x14ac:dyDescent="0.3">
      <c r="A273" s="2">
        <v>45566</v>
      </c>
      <c r="B273">
        <v>2024</v>
      </c>
      <c r="C273" t="s">
        <v>31</v>
      </c>
      <c r="D273" t="s">
        <v>22</v>
      </c>
      <c r="E273" t="s">
        <v>19</v>
      </c>
      <c r="F273">
        <v>387</v>
      </c>
      <c r="G273">
        <v>321</v>
      </c>
      <c r="H273">
        <v>237</v>
      </c>
      <c r="I273">
        <v>21013</v>
      </c>
      <c r="J273">
        <v>368.6</v>
      </c>
      <c r="K273">
        <f t="shared" si="4"/>
        <v>558</v>
      </c>
    </row>
    <row r="274" spans="1:11" x14ac:dyDescent="0.3">
      <c r="A274" s="2">
        <v>45597</v>
      </c>
      <c r="B274">
        <v>2024</v>
      </c>
      <c r="C274" t="s">
        <v>32</v>
      </c>
      <c r="D274" t="s">
        <v>11</v>
      </c>
      <c r="E274" t="s">
        <v>12</v>
      </c>
      <c r="F274">
        <v>5413</v>
      </c>
      <c r="G274">
        <v>238</v>
      </c>
      <c r="H274">
        <v>313</v>
      </c>
      <c r="I274">
        <v>2162</v>
      </c>
      <c r="J274">
        <v>950.4</v>
      </c>
      <c r="K274">
        <f t="shared" si="4"/>
        <v>551</v>
      </c>
    </row>
    <row r="275" spans="1:11" x14ac:dyDescent="0.3">
      <c r="A275" s="2">
        <v>45597</v>
      </c>
      <c r="B275">
        <v>2024</v>
      </c>
      <c r="C275" t="s">
        <v>32</v>
      </c>
      <c r="D275" t="s">
        <v>13</v>
      </c>
      <c r="E275" t="s">
        <v>14</v>
      </c>
      <c r="F275">
        <v>4273.6000000000004</v>
      </c>
      <c r="G275">
        <v>144</v>
      </c>
      <c r="H275">
        <v>78</v>
      </c>
      <c r="I275">
        <v>6465</v>
      </c>
      <c r="J275">
        <v>721.1</v>
      </c>
      <c r="K275">
        <f t="shared" si="4"/>
        <v>222</v>
      </c>
    </row>
    <row r="276" spans="1:11" x14ac:dyDescent="0.3">
      <c r="A276" s="2">
        <v>45597</v>
      </c>
      <c r="B276">
        <v>2024</v>
      </c>
      <c r="C276" t="s">
        <v>32</v>
      </c>
      <c r="D276" t="s">
        <v>15</v>
      </c>
      <c r="E276" t="s">
        <v>16</v>
      </c>
      <c r="F276">
        <v>955.1</v>
      </c>
      <c r="G276">
        <v>569</v>
      </c>
      <c r="H276">
        <v>208</v>
      </c>
      <c r="I276">
        <v>24460</v>
      </c>
      <c r="J276">
        <v>1950.1</v>
      </c>
      <c r="K276">
        <f t="shared" si="4"/>
        <v>777</v>
      </c>
    </row>
    <row r="277" spans="1:11" x14ac:dyDescent="0.3">
      <c r="A277" s="2">
        <v>45597</v>
      </c>
      <c r="B277">
        <v>2024</v>
      </c>
      <c r="C277" t="s">
        <v>32</v>
      </c>
      <c r="D277" t="s">
        <v>17</v>
      </c>
      <c r="E277" t="s">
        <v>14</v>
      </c>
      <c r="F277">
        <v>829.7</v>
      </c>
      <c r="G277">
        <v>397</v>
      </c>
      <c r="H277">
        <v>436</v>
      </c>
      <c r="I277">
        <v>19392</v>
      </c>
      <c r="J277">
        <v>886.6</v>
      </c>
      <c r="K277">
        <f t="shared" si="4"/>
        <v>833</v>
      </c>
    </row>
    <row r="278" spans="1:11" x14ac:dyDescent="0.3">
      <c r="A278" s="2">
        <v>45597</v>
      </c>
      <c r="B278">
        <v>2024</v>
      </c>
      <c r="C278" t="s">
        <v>32</v>
      </c>
      <c r="D278" t="s">
        <v>18</v>
      </c>
      <c r="E278" t="s">
        <v>19</v>
      </c>
      <c r="F278">
        <v>3562.4</v>
      </c>
      <c r="G278">
        <v>40</v>
      </c>
      <c r="H278">
        <v>271</v>
      </c>
      <c r="I278">
        <v>29812</v>
      </c>
      <c r="J278">
        <v>1919.5</v>
      </c>
      <c r="K278">
        <f t="shared" si="4"/>
        <v>311</v>
      </c>
    </row>
    <row r="279" spans="1:11" x14ac:dyDescent="0.3">
      <c r="A279" s="2">
        <v>45597</v>
      </c>
      <c r="B279">
        <v>2024</v>
      </c>
      <c r="C279" t="s">
        <v>32</v>
      </c>
      <c r="D279" t="s">
        <v>20</v>
      </c>
      <c r="E279" t="s">
        <v>14</v>
      </c>
      <c r="F279">
        <v>515.1</v>
      </c>
      <c r="G279">
        <v>429</v>
      </c>
      <c r="H279">
        <v>157</v>
      </c>
      <c r="I279">
        <v>27186</v>
      </c>
      <c r="J279">
        <v>138</v>
      </c>
      <c r="K279">
        <f t="shared" si="4"/>
        <v>586</v>
      </c>
    </row>
    <row r="280" spans="1:11" x14ac:dyDescent="0.3">
      <c r="A280" s="2">
        <v>45597</v>
      </c>
      <c r="B280">
        <v>2024</v>
      </c>
      <c r="C280" t="s">
        <v>32</v>
      </c>
      <c r="D280" t="s">
        <v>21</v>
      </c>
      <c r="E280" t="s">
        <v>19</v>
      </c>
      <c r="F280">
        <v>7499.8</v>
      </c>
      <c r="G280">
        <v>505</v>
      </c>
      <c r="H280">
        <v>67</v>
      </c>
      <c r="I280">
        <v>2734</v>
      </c>
      <c r="J280">
        <v>1677.7</v>
      </c>
      <c r="K280">
        <f t="shared" si="4"/>
        <v>572</v>
      </c>
    </row>
    <row r="281" spans="1:11" x14ac:dyDescent="0.3">
      <c r="A281" s="2">
        <v>45597</v>
      </c>
      <c r="B281">
        <v>2024</v>
      </c>
      <c r="C281" t="s">
        <v>32</v>
      </c>
      <c r="D281" t="s">
        <v>22</v>
      </c>
      <c r="E281" t="s">
        <v>19</v>
      </c>
      <c r="F281">
        <v>1414.9</v>
      </c>
      <c r="G281">
        <v>330</v>
      </c>
      <c r="H281">
        <v>458</v>
      </c>
      <c r="I281">
        <v>17455</v>
      </c>
      <c r="J281">
        <v>824.6</v>
      </c>
      <c r="K281">
        <f t="shared" si="4"/>
        <v>788</v>
      </c>
    </row>
    <row r="282" spans="1:11" x14ac:dyDescent="0.3">
      <c r="A282" s="2">
        <v>45627</v>
      </c>
      <c r="B282">
        <v>2024</v>
      </c>
      <c r="C282" t="s">
        <v>33</v>
      </c>
      <c r="D282" t="s">
        <v>11</v>
      </c>
      <c r="E282" t="s">
        <v>12</v>
      </c>
      <c r="F282">
        <v>3671.1</v>
      </c>
      <c r="G282">
        <v>56</v>
      </c>
      <c r="H282">
        <v>484</v>
      </c>
      <c r="I282">
        <v>10008</v>
      </c>
      <c r="J282">
        <v>419.3</v>
      </c>
      <c r="K282">
        <f t="shared" si="4"/>
        <v>540</v>
      </c>
    </row>
    <row r="283" spans="1:11" x14ac:dyDescent="0.3">
      <c r="A283" s="2">
        <v>45627</v>
      </c>
      <c r="B283">
        <v>2024</v>
      </c>
      <c r="C283" t="s">
        <v>33</v>
      </c>
      <c r="D283" t="s">
        <v>13</v>
      </c>
      <c r="E283" t="s">
        <v>14</v>
      </c>
      <c r="F283">
        <v>2431.1999999999998</v>
      </c>
      <c r="G283">
        <v>579</v>
      </c>
      <c r="H283">
        <v>56</v>
      </c>
      <c r="I283">
        <v>26151</v>
      </c>
      <c r="J283">
        <v>1430.3</v>
      </c>
      <c r="K283">
        <f t="shared" si="4"/>
        <v>635</v>
      </c>
    </row>
    <row r="284" spans="1:11" x14ac:dyDescent="0.3">
      <c r="A284" s="2">
        <v>45627</v>
      </c>
      <c r="B284">
        <v>2024</v>
      </c>
      <c r="C284" t="s">
        <v>33</v>
      </c>
      <c r="D284" t="s">
        <v>15</v>
      </c>
      <c r="E284" t="s">
        <v>16</v>
      </c>
      <c r="F284">
        <v>6674.1</v>
      </c>
      <c r="G284">
        <v>586</v>
      </c>
      <c r="H284">
        <v>422</v>
      </c>
      <c r="I284">
        <v>28358</v>
      </c>
      <c r="J284">
        <v>297.5</v>
      </c>
      <c r="K284">
        <f t="shared" si="4"/>
        <v>1008</v>
      </c>
    </row>
    <row r="285" spans="1:11" x14ac:dyDescent="0.3">
      <c r="A285" s="2">
        <v>45627</v>
      </c>
      <c r="B285">
        <v>2024</v>
      </c>
      <c r="C285" t="s">
        <v>33</v>
      </c>
      <c r="D285" t="s">
        <v>17</v>
      </c>
      <c r="E285" t="s">
        <v>14</v>
      </c>
      <c r="F285">
        <v>6407.2</v>
      </c>
      <c r="G285">
        <v>336</v>
      </c>
      <c r="H285">
        <v>276</v>
      </c>
      <c r="I285">
        <v>27068</v>
      </c>
      <c r="J285">
        <v>1945</v>
      </c>
      <c r="K285">
        <f t="shared" si="4"/>
        <v>612</v>
      </c>
    </row>
    <row r="286" spans="1:11" x14ac:dyDescent="0.3">
      <c r="A286" s="2">
        <v>45627</v>
      </c>
      <c r="B286">
        <v>2024</v>
      </c>
      <c r="C286" t="s">
        <v>33</v>
      </c>
      <c r="D286" t="s">
        <v>18</v>
      </c>
      <c r="E286" t="s">
        <v>19</v>
      </c>
      <c r="F286">
        <v>5697.7</v>
      </c>
      <c r="G286">
        <v>300</v>
      </c>
      <c r="H286">
        <v>233</v>
      </c>
      <c r="I286">
        <v>12203</v>
      </c>
      <c r="J286">
        <v>755.1</v>
      </c>
      <c r="K286">
        <f t="shared" si="4"/>
        <v>533</v>
      </c>
    </row>
    <row r="287" spans="1:11" x14ac:dyDescent="0.3">
      <c r="A287" s="2">
        <v>45627</v>
      </c>
      <c r="B287">
        <v>2024</v>
      </c>
      <c r="C287" t="s">
        <v>33</v>
      </c>
      <c r="D287" t="s">
        <v>20</v>
      </c>
      <c r="E287" t="s">
        <v>14</v>
      </c>
      <c r="F287">
        <v>3253.8</v>
      </c>
      <c r="G287">
        <v>72</v>
      </c>
      <c r="H287">
        <v>47</v>
      </c>
      <c r="I287">
        <v>23616</v>
      </c>
      <c r="J287">
        <v>919.8</v>
      </c>
      <c r="K287">
        <f t="shared" si="4"/>
        <v>119</v>
      </c>
    </row>
    <row r="288" spans="1:11" x14ac:dyDescent="0.3">
      <c r="A288" s="2">
        <v>45627</v>
      </c>
      <c r="B288">
        <v>2024</v>
      </c>
      <c r="C288" t="s">
        <v>33</v>
      </c>
      <c r="D288" t="s">
        <v>21</v>
      </c>
      <c r="E288" t="s">
        <v>19</v>
      </c>
      <c r="F288">
        <v>7459.3</v>
      </c>
      <c r="G288">
        <v>375</v>
      </c>
      <c r="H288">
        <v>27</v>
      </c>
      <c r="I288">
        <v>5568</v>
      </c>
      <c r="J288">
        <v>451.3</v>
      </c>
      <c r="K288">
        <f t="shared" si="4"/>
        <v>402</v>
      </c>
    </row>
    <row r="289" spans="1:11" x14ac:dyDescent="0.3">
      <c r="A289" s="2">
        <v>45627</v>
      </c>
      <c r="B289">
        <v>2024</v>
      </c>
      <c r="C289" t="s">
        <v>33</v>
      </c>
      <c r="D289" t="s">
        <v>22</v>
      </c>
      <c r="E289" t="s">
        <v>19</v>
      </c>
      <c r="F289">
        <v>7810.7</v>
      </c>
      <c r="G289">
        <v>146</v>
      </c>
      <c r="H289">
        <v>262</v>
      </c>
      <c r="I289">
        <v>28149</v>
      </c>
      <c r="J289">
        <v>1955.5</v>
      </c>
      <c r="K289">
        <f t="shared" si="4"/>
        <v>408</v>
      </c>
    </row>
    <row r="290" spans="1:11" x14ac:dyDescent="0.3">
      <c r="A290" s="2">
        <v>45658</v>
      </c>
      <c r="B290">
        <v>2025</v>
      </c>
      <c r="C290" t="s">
        <v>10</v>
      </c>
      <c r="D290" t="s">
        <v>11</v>
      </c>
      <c r="E290" t="s">
        <v>12</v>
      </c>
      <c r="F290">
        <v>2043.6</v>
      </c>
      <c r="G290">
        <v>48</v>
      </c>
      <c r="H290">
        <v>85</v>
      </c>
      <c r="I290">
        <v>2836</v>
      </c>
      <c r="J290">
        <v>430.5</v>
      </c>
      <c r="K290">
        <f t="shared" si="4"/>
        <v>133</v>
      </c>
    </row>
    <row r="291" spans="1:11" x14ac:dyDescent="0.3">
      <c r="A291" s="2">
        <v>45658</v>
      </c>
      <c r="B291">
        <v>2025</v>
      </c>
      <c r="C291" t="s">
        <v>10</v>
      </c>
      <c r="D291" t="s">
        <v>13</v>
      </c>
      <c r="E291" t="s">
        <v>14</v>
      </c>
      <c r="F291">
        <v>4634.8</v>
      </c>
      <c r="G291">
        <v>549</v>
      </c>
      <c r="H291">
        <v>273</v>
      </c>
      <c r="I291">
        <v>19153</v>
      </c>
      <c r="J291">
        <v>443.6</v>
      </c>
      <c r="K291">
        <f t="shared" si="4"/>
        <v>822</v>
      </c>
    </row>
    <row r="292" spans="1:11" x14ac:dyDescent="0.3">
      <c r="A292" s="2">
        <v>45658</v>
      </c>
      <c r="B292">
        <v>2025</v>
      </c>
      <c r="C292" t="s">
        <v>10</v>
      </c>
      <c r="D292" t="s">
        <v>15</v>
      </c>
      <c r="E292" t="s">
        <v>16</v>
      </c>
      <c r="F292">
        <v>6444.6</v>
      </c>
      <c r="G292">
        <v>378</v>
      </c>
      <c r="H292">
        <v>433</v>
      </c>
      <c r="I292">
        <v>28516</v>
      </c>
      <c r="J292">
        <v>728.4</v>
      </c>
      <c r="K292">
        <f t="shared" si="4"/>
        <v>811</v>
      </c>
    </row>
    <row r="293" spans="1:11" x14ac:dyDescent="0.3">
      <c r="A293" s="2">
        <v>45658</v>
      </c>
      <c r="B293">
        <v>2025</v>
      </c>
      <c r="C293" t="s">
        <v>10</v>
      </c>
      <c r="D293" t="s">
        <v>17</v>
      </c>
      <c r="E293" t="s">
        <v>14</v>
      </c>
      <c r="F293">
        <v>906.5</v>
      </c>
      <c r="G293">
        <v>151</v>
      </c>
      <c r="H293">
        <v>224</v>
      </c>
      <c r="I293">
        <v>28425</v>
      </c>
      <c r="J293">
        <v>787.7</v>
      </c>
      <c r="K293">
        <f t="shared" si="4"/>
        <v>375</v>
      </c>
    </row>
    <row r="294" spans="1:11" x14ac:dyDescent="0.3">
      <c r="A294" s="2">
        <v>45658</v>
      </c>
      <c r="B294">
        <v>2025</v>
      </c>
      <c r="C294" t="s">
        <v>10</v>
      </c>
      <c r="D294" t="s">
        <v>18</v>
      </c>
      <c r="E294" t="s">
        <v>19</v>
      </c>
      <c r="F294">
        <v>6212</v>
      </c>
      <c r="G294">
        <v>333</v>
      </c>
      <c r="H294">
        <v>99</v>
      </c>
      <c r="I294">
        <v>10301</v>
      </c>
      <c r="J294">
        <v>1323.7</v>
      </c>
      <c r="K294">
        <f t="shared" si="4"/>
        <v>432</v>
      </c>
    </row>
    <row r="295" spans="1:11" x14ac:dyDescent="0.3">
      <c r="A295" s="2">
        <v>45658</v>
      </c>
      <c r="B295">
        <v>2025</v>
      </c>
      <c r="C295" t="s">
        <v>10</v>
      </c>
      <c r="D295" t="s">
        <v>20</v>
      </c>
      <c r="E295" t="s">
        <v>14</v>
      </c>
      <c r="F295">
        <v>5448.3</v>
      </c>
      <c r="G295">
        <v>272</v>
      </c>
      <c r="H295">
        <v>122</v>
      </c>
      <c r="I295">
        <v>21935</v>
      </c>
      <c r="J295">
        <v>379.3</v>
      </c>
      <c r="K295">
        <f t="shared" si="4"/>
        <v>394</v>
      </c>
    </row>
    <row r="296" spans="1:11" x14ac:dyDescent="0.3">
      <c r="A296" s="2">
        <v>45658</v>
      </c>
      <c r="B296">
        <v>2025</v>
      </c>
      <c r="C296" t="s">
        <v>10</v>
      </c>
      <c r="D296" t="s">
        <v>21</v>
      </c>
      <c r="E296" t="s">
        <v>19</v>
      </c>
      <c r="F296">
        <v>7506</v>
      </c>
      <c r="G296">
        <v>128</v>
      </c>
      <c r="H296">
        <v>62</v>
      </c>
      <c r="I296">
        <v>15431</v>
      </c>
      <c r="J296">
        <v>1063.0999999999999</v>
      </c>
      <c r="K296">
        <f t="shared" si="4"/>
        <v>190</v>
      </c>
    </row>
    <row r="297" spans="1:11" x14ac:dyDescent="0.3">
      <c r="A297" s="2">
        <v>45658</v>
      </c>
      <c r="B297">
        <v>2025</v>
      </c>
      <c r="C297" t="s">
        <v>10</v>
      </c>
      <c r="D297" t="s">
        <v>22</v>
      </c>
      <c r="E297" t="s">
        <v>19</v>
      </c>
      <c r="F297">
        <v>4163.8999999999996</v>
      </c>
      <c r="G297">
        <v>273</v>
      </c>
      <c r="H297">
        <v>497</v>
      </c>
      <c r="I297">
        <v>15102</v>
      </c>
      <c r="J297">
        <v>982</v>
      </c>
      <c r="K297">
        <f t="shared" si="4"/>
        <v>770</v>
      </c>
    </row>
    <row r="298" spans="1:11" x14ac:dyDescent="0.3">
      <c r="A298" s="2">
        <v>45689</v>
      </c>
      <c r="B298">
        <v>2025</v>
      </c>
      <c r="C298" t="s">
        <v>23</v>
      </c>
      <c r="D298" t="s">
        <v>11</v>
      </c>
      <c r="E298" t="s">
        <v>12</v>
      </c>
      <c r="F298">
        <v>3489.8</v>
      </c>
      <c r="G298">
        <v>58</v>
      </c>
      <c r="H298">
        <v>300</v>
      </c>
      <c r="I298">
        <v>7611</v>
      </c>
      <c r="J298">
        <v>1293.3</v>
      </c>
      <c r="K298">
        <f t="shared" si="4"/>
        <v>358</v>
      </c>
    </row>
    <row r="299" spans="1:11" x14ac:dyDescent="0.3">
      <c r="A299" s="2">
        <v>45689</v>
      </c>
      <c r="B299">
        <v>2025</v>
      </c>
      <c r="C299" t="s">
        <v>23</v>
      </c>
      <c r="D299" t="s">
        <v>13</v>
      </c>
      <c r="E299" t="s">
        <v>14</v>
      </c>
      <c r="F299">
        <v>596.5</v>
      </c>
      <c r="G299">
        <v>589</v>
      </c>
      <c r="H299">
        <v>239</v>
      </c>
      <c r="I299">
        <v>27005</v>
      </c>
      <c r="J299">
        <v>977.3</v>
      </c>
      <c r="K299">
        <f t="shared" si="4"/>
        <v>828</v>
      </c>
    </row>
    <row r="300" spans="1:11" x14ac:dyDescent="0.3">
      <c r="A300" s="2">
        <v>45689</v>
      </c>
      <c r="B300">
        <v>2025</v>
      </c>
      <c r="C300" t="s">
        <v>23</v>
      </c>
      <c r="D300" t="s">
        <v>15</v>
      </c>
      <c r="E300" t="s">
        <v>16</v>
      </c>
      <c r="F300">
        <v>670.6</v>
      </c>
      <c r="G300">
        <v>496</v>
      </c>
      <c r="H300">
        <v>327</v>
      </c>
      <c r="I300">
        <v>23670</v>
      </c>
      <c r="J300">
        <v>884.9</v>
      </c>
      <c r="K300">
        <f t="shared" si="4"/>
        <v>823</v>
      </c>
    </row>
    <row r="301" spans="1:11" x14ac:dyDescent="0.3">
      <c r="A301" s="2">
        <v>45689</v>
      </c>
      <c r="B301">
        <v>2025</v>
      </c>
      <c r="C301" t="s">
        <v>23</v>
      </c>
      <c r="D301" t="s">
        <v>17</v>
      </c>
      <c r="E301" t="s">
        <v>14</v>
      </c>
      <c r="F301">
        <v>5175.8999999999996</v>
      </c>
      <c r="G301">
        <v>516</v>
      </c>
      <c r="H301">
        <v>319</v>
      </c>
      <c r="I301">
        <v>11082</v>
      </c>
      <c r="J301">
        <v>1341.9</v>
      </c>
      <c r="K301">
        <f t="shared" si="4"/>
        <v>835</v>
      </c>
    </row>
    <row r="302" spans="1:11" x14ac:dyDescent="0.3">
      <c r="A302" s="2">
        <v>45689</v>
      </c>
      <c r="B302">
        <v>2025</v>
      </c>
      <c r="C302" t="s">
        <v>23</v>
      </c>
      <c r="D302" t="s">
        <v>18</v>
      </c>
      <c r="E302" t="s">
        <v>19</v>
      </c>
      <c r="F302">
        <v>5440.5</v>
      </c>
      <c r="G302">
        <v>577</v>
      </c>
      <c r="H302">
        <v>191</v>
      </c>
      <c r="I302">
        <v>13327</v>
      </c>
      <c r="J302">
        <v>1633.6</v>
      </c>
      <c r="K302">
        <f t="shared" si="4"/>
        <v>768</v>
      </c>
    </row>
    <row r="303" spans="1:11" x14ac:dyDescent="0.3">
      <c r="A303" s="2">
        <v>45689</v>
      </c>
      <c r="B303">
        <v>2025</v>
      </c>
      <c r="C303" t="s">
        <v>23</v>
      </c>
      <c r="D303" t="s">
        <v>20</v>
      </c>
      <c r="E303" t="s">
        <v>14</v>
      </c>
      <c r="F303">
        <v>4144.8999999999996</v>
      </c>
      <c r="G303">
        <v>447</v>
      </c>
      <c r="H303">
        <v>235</v>
      </c>
      <c r="I303">
        <v>7249</v>
      </c>
      <c r="J303">
        <v>1503.1</v>
      </c>
      <c r="K303">
        <f t="shared" si="4"/>
        <v>682</v>
      </c>
    </row>
    <row r="304" spans="1:11" x14ac:dyDescent="0.3">
      <c r="A304" s="2">
        <v>45689</v>
      </c>
      <c r="B304">
        <v>2025</v>
      </c>
      <c r="C304" t="s">
        <v>23</v>
      </c>
      <c r="D304" t="s">
        <v>21</v>
      </c>
      <c r="E304" t="s">
        <v>19</v>
      </c>
      <c r="F304">
        <v>1223</v>
      </c>
      <c r="G304">
        <v>135</v>
      </c>
      <c r="H304">
        <v>317</v>
      </c>
      <c r="I304">
        <v>22670</v>
      </c>
      <c r="J304">
        <v>1794.6</v>
      </c>
      <c r="K304">
        <f t="shared" si="4"/>
        <v>452</v>
      </c>
    </row>
    <row r="305" spans="1:11" x14ac:dyDescent="0.3">
      <c r="A305" s="2">
        <v>45689</v>
      </c>
      <c r="B305">
        <v>2025</v>
      </c>
      <c r="C305" t="s">
        <v>23</v>
      </c>
      <c r="D305" t="s">
        <v>22</v>
      </c>
      <c r="E305" t="s">
        <v>19</v>
      </c>
      <c r="F305">
        <v>2326.1999999999998</v>
      </c>
      <c r="G305">
        <v>84</v>
      </c>
      <c r="H305">
        <v>478</v>
      </c>
      <c r="I305">
        <v>5478</v>
      </c>
      <c r="J305">
        <v>435.5</v>
      </c>
      <c r="K305">
        <f t="shared" si="4"/>
        <v>562</v>
      </c>
    </row>
    <row r="306" spans="1:11" x14ac:dyDescent="0.3">
      <c r="A306" s="2">
        <v>45717</v>
      </c>
      <c r="B306">
        <v>2025</v>
      </c>
      <c r="C306" t="s">
        <v>24</v>
      </c>
      <c r="D306" t="s">
        <v>11</v>
      </c>
      <c r="E306" t="s">
        <v>12</v>
      </c>
      <c r="F306">
        <v>2472.4</v>
      </c>
      <c r="G306">
        <v>327</v>
      </c>
      <c r="H306">
        <v>442</v>
      </c>
      <c r="I306">
        <v>23055</v>
      </c>
      <c r="J306">
        <v>1430.9</v>
      </c>
      <c r="K306">
        <f t="shared" si="4"/>
        <v>769</v>
      </c>
    </row>
    <row r="307" spans="1:11" x14ac:dyDescent="0.3">
      <c r="A307" s="2">
        <v>45717</v>
      </c>
      <c r="B307">
        <v>2025</v>
      </c>
      <c r="C307" t="s">
        <v>24</v>
      </c>
      <c r="D307" t="s">
        <v>13</v>
      </c>
      <c r="E307" t="s">
        <v>14</v>
      </c>
      <c r="F307">
        <v>1566.4</v>
      </c>
      <c r="G307">
        <v>227</v>
      </c>
      <c r="H307">
        <v>244</v>
      </c>
      <c r="I307">
        <v>5275</v>
      </c>
      <c r="J307">
        <v>583.20000000000005</v>
      </c>
      <c r="K307">
        <f t="shared" si="4"/>
        <v>471</v>
      </c>
    </row>
    <row r="308" spans="1:11" x14ac:dyDescent="0.3">
      <c r="A308" s="2">
        <v>45717</v>
      </c>
      <c r="B308">
        <v>2025</v>
      </c>
      <c r="C308" t="s">
        <v>24</v>
      </c>
      <c r="D308" t="s">
        <v>15</v>
      </c>
      <c r="E308" t="s">
        <v>16</v>
      </c>
      <c r="F308">
        <v>2605</v>
      </c>
      <c r="G308">
        <v>93</v>
      </c>
      <c r="H308">
        <v>279</v>
      </c>
      <c r="I308">
        <v>21445</v>
      </c>
      <c r="J308">
        <v>186.4</v>
      </c>
      <c r="K308">
        <f t="shared" si="4"/>
        <v>372</v>
      </c>
    </row>
    <row r="309" spans="1:11" x14ac:dyDescent="0.3">
      <c r="A309" s="2">
        <v>45717</v>
      </c>
      <c r="B309">
        <v>2025</v>
      </c>
      <c r="C309" t="s">
        <v>24</v>
      </c>
      <c r="D309" t="s">
        <v>17</v>
      </c>
      <c r="E309" t="s">
        <v>14</v>
      </c>
      <c r="F309">
        <v>3952.8</v>
      </c>
      <c r="G309">
        <v>473</v>
      </c>
      <c r="H309">
        <v>376</v>
      </c>
      <c r="I309">
        <v>24637</v>
      </c>
      <c r="J309">
        <v>924.1</v>
      </c>
      <c r="K309">
        <f t="shared" si="4"/>
        <v>849</v>
      </c>
    </row>
    <row r="310" spans="1:11" x14ac:dyDescent="0.3">
      <c r="A310" s="2">
        <v>45717</v>
      </c>
      <c r="B310">
        <v>2025</v>
      </c>
      <c r="C310" t="s">
        <v>24</v>
      </c>
      <c r="D310" t="s">
        <v>18</v>
      </c>
      <c r="E310" t="s">
        <v>19</v>
      </c>
      <c r="F310">
        <v>6600.3</v>
      </c>
      <c r="G310">
        <v>159</v>
      </c>
      <c r="H310">
        <v>186</v>
      </c>
      <c r="I310">
        <v>6114</v>
      </c>
      <c r="J310">
        <v>961.6</v>
      </c>
      <c r="K310">
        <f t="shared" si="4"/>
        <v>345</v>
      </c>
    </row>
    <row r="311" spans="1:11" x14ac:dyDescent="0.3">
      <c r="A311" s="2">
        <v>45717</v>
      </c>
      <c r="B311">
        <v>2025</v>
      </c>
      <c r="C311" t="s">
        <v>24</v>
      </c>
      <c r="D311" t="s">
        <v>20</v>
      </c>
      <c r="E311" t="s">
        <v>14</v>
      </c>
      <c r="F311">
        <v>3258.1</v>
      </c>
      <c r="G311">
        <v>159</v>
      </c>
      <c r="H311">
        <v>378</v>
      </c>
      <c r="I311">
        <v>10101</v>
      </c>
      <c r="J311">
        <v>582</v>
      </c>
      <c r="K311">
        <f t="shared" si="4"/>
        <v>537</v>
      </c>
    </row>
    <row r="312" spans="1:11" x14ac:dyDescent="0.3">
      <c r="A312" s="2">
        <v>45717</v>
      </c>
      <c r="B312">
        <v>2025</v>
      </c>
      <c r="C312" t="s">
        <v>24</v>
      </c>
      <c r="D312" t="s">
        <v>21</v>
      </c>
      <c r="E312" t="s">
        <v>19</v>
      </c>
      <c r="F312">
        <v>1220.9000000000001</v>
      </c>
      <c r="G312">
        <v>274</v>
      </c>
      <c r="H312">
        <v>158</v>
      </c>
      <c r="I312">
        <v>11708</v>
      </c>
      <c r="J312">
        <v>510.2</v>
      </c>
      <c r="K312">
        <f t="shared" si="4"/>
        <v>432</v>
      </c>
    </row>
    <row r="313" spans="1:11" x14ac:dyDescent="0.3">
      <c r="A313" s="2">
        <v>45717</v>
      </c>
      <c r="B313">
        <v>2025</v>
      </c>
      <c r="C313" t="s">
        <v>24</v>
      </c>
      <c r="D313" t="s">
        <v>22</v>
      </c>
      <c r="E313" t="s">
        <v>19</v>
      </c>
      <c r="F313">
        <v>6152.6</v>
      </c>
      <c r="G313">
        <v>559</v>
      </c>
      <c r="H313">
        <v>253</v>
      </c>
      <c r="I313">
        <v>19646</v>
      </c>
      <c r="J313">
        <v>1741</v>
      </c>
      <c r="K313">
        <f t="shared" si="4"/>
        <v>812</v>
      </c>
    </row>
    <row r="314" spans="1:11" x14ac:dyDescent="0.3">
      <c r="A314" s="2">
        <v>45748</v>
      </c>
      <c r="B314">
        <v>2025</v>
      </c>
      <c r="C314" t="s">
        <v>25</v>
      </c>
      <c r="D314" t="s">
        <v>11</v>
      </c>
      <c r="E314" t="s">
        <v>12</v>
      </c>
      <c r="F314">
        <v>7990.9</v>
      </c>
      <c r="G314">
        <v>375</v>
      </c>
      <c r="H314">
        <v>445</v>
      </c>
      <c r="I314">
        <v>27349</v>
      </c>
      <c r="J314">
        <v>1593.3</v>
      </c>
      <c r="K314">
        <f t="shared" si="4"/>
        <v>820</v>
      </c>
    </row>
    <row r="315" spans="1:11" x14ac:dyDescent="0.3">
      <c r="A315" s="2">
        <v>45748</v>
      </c>
      <c r="B315">
        <v>2025</v>
      </c>
      <c r="C315" t="s">
        <v>25</v>
      </c>
      <c r="D315" t="s">
        <v>13</v>
      </c>
      <c r="E315" t="s">
        <v>14</v>
      </c>
      <c r="F315">
        <v>3795.3</v>
      </c>
      <c r="G315">
        <v>67</v>
      </c>
      <c r="H315">
        <v>17</v>
      </c>
      <c r="I315">
        <v>14838</v>
      </c>
      <c r="J315">
        <v>1013.9</v>
      </c>
      <c r="K315">
        <f t="shared" si="4"/>
        <v>84</v>
      </c>
    </row>
    <row r="316" spans="1:11" x14ac:dyDescent="0.3">
      <c r="A316" s="2">
        <v>45748</v>
      </c>
      <c r="B316">
        <v>2025</v>
      </c>
      <c r="C316" t="s">
        <v>25</v>
      </c>
      <c r="D316" t="s">
        <v>15</v>
      </c>
      <c r="E316" t="s">
        <v>16</v>
      </c>
      <c r="F316">
        <v>3377.4</v>
      </c>
      <c r="G316">
        <v>349</v>
      </c>
      <c r="H316">
        <v>280</v>
      </c>
      <c r="I316">
        <v>25261</v>
      </c>
      <c r="J316">
        <v>261.89999999999998</v>
      </c>
      <c r="K316">
        <f t="shared" si="4"/>
        <v>629</v>
      </c>
    </row>
    <row r="317" spans="1:11" x14ac:dyDescent="0.3">
      <c r="A317" s="2">
        <v>45748</v>
      </c>
      <c r="B317">
        <v>2025</v>
      </c>
      <c r="C317" t="s">
        <v>25</v>
      </c>
      <c r="D317" t="s">
        <v>17</v>
      </c>
      <c r="E317" t="s">
        <v>14</v>
      </c>
      <c r="F317">
        <v>1956.4</v>
      </c>
      <c r="G317">
        <v>479</v>
      </c>
      <c r="H317">
        <v>425</v>
      </c>
      <c r="I317">
        <v>29849</v>
      </c>
      <c r="J317">
        <v>1752.2</v>
      </c>
      <c r="K317">
        <f t="shared" si="4"/>
        <v>904</v>
      </c>
    </row>
    <row r="318" spans="1:11" x14ac:dyDescent="0.3">
      <c r="A318" s="2">
        <v>45748</v>
      </c>
      <c r="B318">
        <v>2025</v>
      </c>
      <c r="C318" t="s">
        <v>25</v>
      </c>
      <c r="D318" t="s">
        <v>18</v>
      </c>
      <c r="E318" t="s">
        <v>19</v>
      </c>
      <c r="F318">
        <v>7141.2</v>
      </c>
      <c r="G318">
        <v>202</v>
      </c>
      <c r="H318">
        <v>206</v>
      </c>
      <c r="I318">
        <v>8774</v>
      </c>
      <c r="J318">
        <v>1232.3</v>
      </c>
      <c r="K318">
        <f t="shared" si="4"/>
        <v>408</v>
      </c>
    </row>
    <row r="319" spans="1:11" x14ac:dyDescent="0.3">
      <c r="A319" s="2">
        <v>45748</v>
      </c>
      <c r="B319">
        <v>2025</v>
      </c>
      <c r="C319" t="s">
        <v>25</v>
      </c>
      <c r="D319" t="s">
        <v>20</v>
      </c>
      <c r="E319" t="s">
        <v>14</v>
      </c>
      <c r="F319">
        <v>7522.7</v>
      </c>
      <c r="G319">
        <v>219</v>
      </c>
      <c r="H319">
        <v>282</v>
      </c>
      <c r="I319">
        <v>9592</v>
      </c>
      <c r="J319">
        <v>381.1</v>
      </c>
      <c r="K319">
        <f t="shared" si="4"/>
        <v>501</v>
      </c>
    </row>
    <row r="320" spans="1:11" x14ac:dyDescent="0.3">
      <c r="A320" s="2">
        <v>45748</v>
      </c>
      <c r="B320">
        <v>2025</v>
      </c>
      <c r="C320" t="s">
        <v>25</v>
      </c>
      <c r="D320" t="s">
        <v>21</v>
      </c>
      <c r="E320" t="s">
        <v>19</v>
      </c>
      <c r="F320">
        <v>1722.4</v>
      </c>
      <c r="G320">
        <v>53</v>
      </c>
      <c r="H320">
        <v>475</v>
      </c>
      <c r="I320">
        <v>12683</v>
      </c>
      <c r="J320">
        <v>1676.5</v>
      </c>
      <c r="K320">
        <f t="shared" si="4"/>
        <v>528</v>
      </c>
    </row>
    <row r="321" spans="1:11" x14ac:dyDescent="0.3">
      <c r="A321" s="2">
        <v>45748</v>
      </c>
      <c r="B321">
        <v>2025</v>
      </c>
      <c r="C321" t="s">
        <v>25</v>
      </c>
      <c r="D321" t="s">
        <v>22</v>
      </c>
      <c r="E321" t="s">
        <v>19</v>
      </c>
      <c r="F321">
        <v>5514.4</v>
      </c>
      <c r="G321">
        <v>131</v>
      </c>
      <c r="H321">
        <v>95</v>
      </c>
      <c r="I321">
        <v>24547</v>
      </c>
      <c r="J321">
        <v>566.20000000000005</v>
      </c>
      <c r="K321">
        <f t="shared" si="4"/>
        <v>226</v>
      </c>
    </row>
    <row r="322" spans="1:11" x14ac:dyDescent="0.3">
      <c r="A322" s="2">
        <v>45778</v>
      </c>
      <c r="B322">
        <v>2025</v>
      </c>
      <c r="C322" t="s">
        <v>26</v>
      </c>
      <c r="D322" t="s">
        <v>11</v>
      </c>
      <c r="E322" t="s">
        <v>12</v>
      </c>
      <c r="F322">
        <v>7323.6</v>
      </c>
      <c r="G322">
        <v>101</v>
      </c>
      <c r="H322">
        <v>342</v>
      </c>
      <c r="I322">
        <v>24619</v>
      </c>
      <c r="J322">
        <v>508.7</v>
      </c>
      <c r="K322">
        <f t="shared" si="4"/>
        <v>443</v>
      </c>
    </row>
    <row r="323" spans="1:11" x14ac:dyDescent="0.3">
      <c r="A323" s="2">
        <v>45778</v>
      </c>
      <c r="B323">
        <v>2025</v>
      </c>
      <c r="C323" t="s">
        <v>26</v>
      </c>
      <c r="D323" t="s">
        <v>13</v>
      </c>
      <c r="E323" t="s">
        <v>14</v>
      </c>
      <c r="F323">
        <v>2354.4</v>
      </c>
      <c r="G323">
        <v>579</v>
      </c>
      <c r="H323">
        <v>139</v>
      </c>
      <c r="I323">
        <v>13468</v>
      </c>
      <c r="J323">
        <v>893.4</v>
      </c>
      <c r="K323">
        <f t="shared" ref="K323:K385" si="5">(G323+H323)</f>
        <v>718</v>
      </c>
    </row>
    <row r="324" spans="1:11" x14ac:dyDescent="0.3">
      <c r="A324" s="2">
        <v>45778</v>
      </c>
      <c r="B324">
        <v>2025</v>
      </c>
      <c r="C324" t="s">
        <v>26</v>
      </c>
      <c r="D324" t="s">
        <v>15</v>
      </c>
      <c r="E324" t="s">
        <v>16</v>
      </c>
      <c r="F324">
        <v>2173.6999999999998</v>
      </c>
      <c r="G324">
        <v>469</v>
      </c>
      <c r="H324">
        <v>388</v>
      </c>
      <c r="I324">
        <v>11971</v>
      </c>
      <c r="J324">
        <v>1678.5</v>
      </c>
      <c r="K324">
        <f t="shared" si="5"/>
        <v>857</v>
      </c>
    </row>
    <row r="325" spans="1:11" x14ac:dyDescent="0.3">
      <c r="A325" s="2">
        <v>45778</v>
      </c>
      <c r="B325">
        <v>2025</v>
      </c>
      <c r="C325" t="s">
        <v>26</v>
      </c>
      <c r="D325" t="s">
        <v>17</v>
      </c>
      <c r="E325" t="s">
        <v>14</v>
      </c>
      <c r="F325">
        <v>1862</v>
      </c>
      <c r="G325">
        <v>22</v>
      </c>
      <c r="H325">
        <v>289</v>
      </c>
      <c r="I325">
        <v>29828</v>
      </c>
      <c r="J325">
        <v>125.4</v>
      </c>
      <c r="K325">
        <f t="shared" si="5"/>
        <v>311</v>
      </c>
    </row>
    <row r="326" spans="1:11" x14ac:dyDescent="0.3">
      <c r="A326" s="2">
        <v>45778</v>
      </c>
      <c r="B326">
        <v>2025</v>
      </c>
      <c r="C326" t="s">
        <v>26</v>
      </c>
      <c r="D326" t="s">
        <v>18</v>
      </c>
      <c r="E326" t="s">
        <v>19</v>
      </c>
      <c r="F326">
        <v>1822.4</v>
      </c>
      <c r="G326">
        <v>320</v>
      </c>
      <c r="H326">
        <v>406</v>
      </c>
      <c r="I326">
        <v>3582</v>
      </c>
      <c r="J326">
        <v>820.7</v>
      </c>
      <c r="K326">
        <f t="shared" si="5"/>
        <v>726</v>
      </c>
    </row>
    <row r="327" spans="1:11" x14ac:dyDescent="0.3">
      <c r="A327" s="2">
        <v>45778</v>
      </c>
      <c r="B327">
        <v>2025</v>
      </c>
      <c r="C327" t="s">
        <v>26</v>
      </c>
      <c r="D327" t="s">
        <v>20</v>
      </c>
      <c r="E327" t="s">
        <v>14</v>
      </c>
      <c r="F327">
        <v>6027.2</v>
      </c>
      <c r="G327">
        <v>235</v>
      </c>
      <c r="H327">
        <v>102</v>
      </c>
      <c r="I327">
        <v>6669</v>
      </c>
      <c r="J327">
        <v>849.6</v>
      </c>
      <c r="K327">
        <f t="shared" si="5"/>
        <v>337</v>
      </c>
    </row>
    <row r="328" spans="1:11" x14ac:dyDescent="0.3">
      <c r="A328" s="2">
        <v>45778</v>
      </c>
      <c r="B328">
        <v>2025</v>
      </c>
      <c r="C328" t="s">
        <v>26</v>
      </c>
      <c r="D328" t="s">
        <v>21</v>
      </c>
      <c r="E328" t="s">
        <v>19</v>
      </c>
      <c r="F328">
        <v>3939.5</v>
      </c>
      <c r="G328">
        <v>519</v>
      </c>
      <c r="H328">
        <v>324</v>
      </c>
      <c r="I328">
        <v>21021</v>
      </c>
      <c r="J328">
        <v>1966.8</v>
      </c>
      <c r="K328">
        <f t="shared" si="5"/>
        <v>843</v>
      </c>
    </row>
    <row r="329" spans="1:11" x14ac:dyDescent="0.3">
      <c r="A329" s="2">
        <v>45778</v>
      </c>
      <c r="B329">
        <v>2025</v>
      </c>
      <c r="C329" t="s">
        <v>26</v>
      </c>
      <c r="D329" t="s">
        <v>22</v>
      </c>
      <c r="E329" t="s">
        <v>19</v>
      </c>
      <c r="F329">
        <v>3412.4</v>
      </c>
      <c r="G329">
        <v>253</v>
      </c>
      <c r="H329">
        <v>462</v>
      </c>
      <c r="I329">
        <v>8130</v>
      </c>
      <c r="J329">
        <v>1473.1</v>
      </c>
      <c r="K329">
        <f t="shared" si="5"/>
        <v>715</v>
      </c>
    </row>
    <row r="330" spans="1:11" x14ac:dyDescent="0.3">
      <c r="A330" s="2">
        <v>45809</v>
      </c>
      <c r="B330">
        <v>2025</v>
      </c>
      <c r="C330" t="s">
        <v>27</v>
      </c>
      <c r="D330" t="s">
        <v>11</v>
      </c>
      <c r="E330" t="s">
        <v>12</v>
      </c>
      <c r="F330">
        <v>6085.7</v>
      </c>
      <c r="G330">
        <v>76</v>
      </c>
      <c r="H330">
        <v>239</v>
      </c>
      <c r="I330">
        <v>6816</v>
      </c>
      <c r="J330">
        <v>411.5</v>
      </c>
      <c r="K330">
        <f t="shared" si="5"/>
        <v>315</v>
      </c>
    </row>
    <row r="331" spans="1:11" x14ac:dyDescent="0.3">
      <c r="A331" s="2">
        <v>45809</v>
      </c>
      <c r="B331">
        <v>2025</v>
      </c>
      <c r="C331" t="s">
        <v>27</v>
      </c>
      <c r="D331" t="s">
        <v>13</v>
      </c>
      <c r="E331" t="s">
        <v>14</v>
      </c>
      <c r="F331">
        <v>3817.9</v>
      </c>
      <c r="G331">
        <v>187</v>
      </c>
      <c r="H331">
        <v>400</v>
      </c>
      <c r="I331">
        <v>27320</v>
      </c>
      <c r="J331">
        <v>1615.3</v>
      </c>
      <c r="K331">
        <f t="shared" si="5"/>
        <v>587</v>
      </c>
    </row>
    <row r="332" spans="1:11" x14ac:dyDescent="0.3">
      <c r="A332" s="2">
        <v>45809</v>
      </c>
      <c r="B332">
        <v>2025</v>
      </c>
      <c r="C332" t="s">
        <v>27</v>
      </c>
      <c r="D332" t="s">
        <v>15</v>
      </c>
      <c r="E332" t="s">
        <v>16</v>
      </c>
      <c r="F332">
        <v>2275</v>
      </c>
      <c r="G332">
        <v>178</v>
      </c>
      <c r="H332">
        <v>134</v>
      </c>
      <c r="I332">
        <v>4916</v>
      </c>
      <c r="J332">
        <v>1890.4</v>
      </c>
      <c r="K332">
        <f t="shared" si="5"/>
        <v>312</v>
      </c>
    </row>
    <row r="333" spans="1:11" x14ac:dyDescent="0.3">
      <c r="A333" s="2">
        <v>45809</v>
      </c>
      <c r="B333">
        <v>2025</v>
      </c>
      <c r="C333" t="s">
        <v>27</v>
      </c>
      <c r="D333" t="s">
        <v>17</v>
      </c>
      <c r="E333" t="s">
        <v>14</v>
      </c>
      <c r="F333">
        <v>3336</v>
      </c>
      <c r="G333">
        <v>150</v>
      </c>
      <c r="H333">
        <v>424</v>
      </c>
      <c r="I333">
        <v>12576</v>
      </c>
      <c r="J333">
        <v>118.5</v>
      </c>
      <c r="K333">
        <f t="shared" si="5"/>
        <v>574</v>
      </c>
    </row>
    <row r="334" spans="1:11" x14ac:dyDescent="0.3">
      <c r="A334" s="2">
        <v>45809</v>
      </c>
      <c r="B334">
        <v>2025</v>
      </c>
      <c r="C334" t="s">
        <v>27</v>
      </c>
      <c r="D334" t="s">
        <v>18</v>
      </c>
      <c r="E334" t="s">
        <v>19</v>
      </c>
      <c r="F334">
        <v>1463.1</v>
      </c>
      <c r="G334">
        <v>390</v>
      </c>
      <c r="H334">
        <v>393</v>
      </c>
      <c r="I334">
        <v>7117</v>
      </c>
      <c r="J334">
        <v>1838.9</v>
      </c>
      <c r="K334">
        <f t="shared" si="5"/>
        <v>783</v>
      </c>
    </row>
    <row r="335" spans="1:11" x14ac:dyDescent="0.3">
      <c r="A335" s="2">
        <v>45809</v>
      </c>
      <c r="B335">
        <v>2025</v>
      </c>
      <c r="C335" t="s">
        <v>27</v>
      </c>
      <c r="D335" t="s">
        <v>20</v>
      </c>
      <c r="E335" t="s">
        <v>14</v>
      </c>
      <c r="F335">
        <v>6837.8</v>
      </c>
      <c r="G335">
        <v>512</v>
      </c>
      <c r="H335">
        <v>121</v>
      </c>
      <c r="I335">
        <v>2465</v>
      </c>
      <c r="J335">
        <v>1741.5</v>
      </c>
      <c r="K335">
        <f t="shared" si="5"/>
        <v>633</v>
      </c>
    </row>
    <row r="336" spans="1:11" x14ac:dyDescent="0.3">
      <c r="A336" s="2">
        <v>45809</v>
      </c>
      <c r="B336">
        <v>2025</v>
      </c>
      <c r="C336" t="s">
        <v>27</v>
      </c>
      <c r="D336" t="s">
        <v>21</v>
      </c>
      <c r="E336" t="s">
        <v>19</v>
      </c>
      <c r="F336">
        <v>2585.1999999999998</v>
      </c>
      <c r="G336">
        <v>378</v>
      </c>
      <c r="H336">
        <v>382</v>
      </c>
      <c r="I336">
        <v>4720</v>
      </c>
      <c r="J336">
        <v>1572.6</v>
      </c>
      <c r="K336">
        <f t="shared" si="5"/>
        <v>760</v>
      </c>
    </row>
    <row r="337" spans="1:11" x14ac:dyDescent="0.3">
      <c r="A337" s="2">
        <v>45809</v>
      </c>
      <c r="B337">
        <v>2025</v>
      </c>
      <c r="C337" t="s">
        <v>27</v>
      </c>
      <c r="D337" t="s">
        <v>22</v>
      </c>
      <c r="E337" t="s">
        <v>19</v>
      </c>
      <c r="F337">
        <v>7520.4</v>
      </c>
      <c r="G337">
        <v>442</v>
      </c>
      <c r="H337">
        <v>226</v>
      </c>
      <c r="I337">
        <v>26423</v>
      </c>
      <c r="J337">
        <v>1078.5</v>
      </c>
      <c r="K337">
        <f t="shared" si="5"/>
        <v>668</v>
      </c>
    </row>
    <row r="338" spans="1:11" x14ac:dyDescent="0.3">
      <c r="A338" s="2">
        <v>45839</v>
      </c>
      <c r="B338">
        <v>2025</v>
      </c>
      <c r="C338" t="s">
        <v>28</v>
      </c>
      <c r="D338" t="s">
        <v>11</v>
      </c>
      <c r="E338" t="s">
        <v>12</v>
      </c>
      <c r="F338">
        <v>6009.2</v>
      </c>
      <c r="G338">
        <v>495</v>
      </c>
      <c r="H338">
        <v>377</v>
      </c>
      <c r="I338">
        <v>9347</v>
      </c>
      <c r="J338">
        <v>279.8</v>
      </c>
      <c r="K338">
        <f t="shared" si="5"/>
        <v>872</v>
      </c>
    </row>
    <row r="339" spans="1:11" x14ac:dyDescent="0.3">
      <c r="A339" s="2">
        <v>45839</v>
      </c>
      <c r="B339">
        <v>2025</v>
      </c>
      <c r="C339" t="s">
        <v>28</v>
      </c>
      <c r="D339" t="s">
        <v>13</v>
      </c>
      <c r="E339" t="s">
        <v>14</v>
      </c>
      <c r="F339">
        <v>2059</v>
      </c>
      <c r="G339">
        <v>311</v>
      </c>
      <c r="H339">
        <v>257</v>
      </c>
      <c r="I339">
        <v>17896</v>
      </c>
      <c r="J339">
        <v>820.4</v>
      </c>
      <c r="K339">
        <f t="shared" si="5"/>
        <v>568</v>
      </c>
    </row>
    <row r="340" spans="1:11" x14ac:dyDescent="0.3">
      <c r="A340" s="2">
        <v>45839</v>
      </c>
      <c r="B340">
        <v>2025</v>
      </c>
      <c r="C340" t="s">
        <v>28</v>
      </c>
      <c r="D340" t="s">
        <v>15</v>
      </c>
      <c r="E340" t="s">
        <v>16</v>
      </c>
      <c r="F340">
        <v>6337.8</v>
      </c>
      <c r="G340">
        <v>549</v>
      </c>
      <c r="H340">
        <v>130</v>
      </c>
      <c r="I340">
        <v>22359</v>
      </c>
      <c r="J340">
        <v>1372</v>
      </c>
      <c r="K340">
        <f t="shared" si="5"/>
        <v>679</v>
      </c>
    </row>
    <row r="341" spans="1:11" x14ac:dyDescent="0.3">
      <c r="A341" s="2">
        <v>45839</v>
      </c>
      <c r="B341">
        <v>2025</v>
      </c>
      <c r="C341" t="s">
        <v>28</v>
      </c>
      <c r="D341" t="s">
        <v>17</v>
      </c>
      <c r="E341" t="s">
        <v>14</v>
      </c>
      <c r="F341">
        <v>4280.1000000000004</v>
      </c>
      <c r="G341">
        <v>129</v>
      </c>
      <c r="H341">
        <v>399</v>
      </c>
      <c r="I341">
        <v>28858</v>
      </c>
      <c r="J341">
        <v>1457.6</v>
      </c>
      <c r="K341">
        <f t="shared" si="5"/>
        <v>528</v>
      </c>
    </row>
    <row r="342" spans="1:11" x14ac:dyDescent="0.3">
      <c r="A342" s="2">
        <v>45839</v>
      </c>
      <c r="B342">
        <v>2025</v>
      </c>
      <c r="C342" t="s">
        <v>28</v>
      </c>
      <c r="D342" t="s">
        <v>18</v>
      </c>
      <c r="E342" t="s">
        <v>19</v>
      </c>
      <c r="F342">
        <v>7359.3</v>
      </c>
      <c r="G342">
        <v>590</v>
      </c>
      <c r="H342">
        <v>182</v>
      </c>
      <c r="I342">
        <v>19508</v>
      </c>
      <c r="J342">
        <v>974.2</v>
      </c>
      <c r="K342">
        <f t="shared" si="5"/>
        <v>772</v>
      </c>
    </row>
    <row r="343" spans="1:11" x14ac:dyDescent="0.3">
      <c r="A343" s="2">
        <v>45839</v>
      </c>
      <c r="B343">
        <v>2025</v>
      </c>
      <c r="C343" t="s">
        <v>28</v>
      </c>
      <c r="D343" t="s">
        <v>20</v>
      </c>
      <c r="E343" t="s">
        <v>14</v>
      </c>
      <c r="F343">
        <v>7895.7</v>
      </c>
      <c r="G343">
        <v>74</v>
      </c>
      <c r="H343">
        <v>212</v>
      </c>
      <c r="I343">
        <v>26390</v>
      </c>
      <c r="J343">
        <v>603.9</v>
      </c>
      <c r="K343">
        <f t="shared" si="5"/>
        <v>286</v>
      </c>
    </row>
    <row r="344" spans="1:11" x14ac:dyDescent="0.3">
      <c r="A344" s="2">
        <v>45839</v>
      </c>
      <c r="B344">
        <v>2025</v>
      </c>
      <c r="C344" t="s">
        <v>28</v>
      </c>
      <c r="D344" t="s">
        <v>21</v>
      </c>
      <c r="E344" t="s">
        <v>19</v>
      </c>
      <c r="F344">
        <v>6344.8</v>
      </c>
      <c r="G344">
        <v>242</v>
      </c>
      <c r="H344">
        <v>490</v>
      </c>
      <c r="I344">
        <v>26622</v>
      </c>
      <c r="J344">
        <v>637.6</v>
      </c>
      <c r="K344">
        <f t="shared" si="5"/>
        <v>732</v>
      </c>
    </row>
    <row r="345" spans="1:11" x14ac:dyDescent="0.3">
      <c r="A345" s="2">
        <v>45839</v>
      </c>
      <c r="B345">
        <v>2025</v>
      </c>
      <c r="C345" t="s">
        <v>28</v>
      </c>
      <c r="D345" t="s">
        <v>22</v>
      </c>
      <c r="E345" t="s">
        <v>19</v>
      </c>
      <c r="F345">
        <v>6207.5</v>
      </c>
      <c r="G345">
        <v>215</v>
      </c>
      <c r="H345">
        <v>307</v>
      </c>
      <c r="I345">
        <v>20095</v>
      </c>
      <c r="J345">
        <v>1667.7</v>
      </c>
      <c r="K345">
        <f t="shared" si="5"/>
        <v>522</v>
      </c>
    </row>
    <row r="346" spans="1:11" x14ac:dyDescent="0.3">
      <c r="A346" s="2">
        <v>45870</v>
      </c>
      <c r="B346">
        <v>2025</v>
      </c>
      <c r="C346" t="s">
        <v>29</v>
      </c>
      <c r="D346" t="s">
        <v>11</v>
      </c>
      <c r="E346" t="s">
        <v>12</v>
      </c>
      <c r="F346">
        <v>390.7</v>
      </c>
      <c r="G346">
        <v>147</v>
      </c>
      <c r="H346">
        <v>358</v>
      </c>
      <c r="I346">
        <v>17342</v>
      </c>
      <c r="J346">
        <v>1016.4</v>
      </c>
      <c r="K346">
        <f t="shared" si="5"/>
        <v>505</v>
      </c>
    </row>
    <row r="347" spans="1:11" x14ac:dyDescent="0.3">
      <c r="A347" s="2">
        <v>45870</v>
      </c>
      <c r="B347">
        <v>2025</v>
      </c>
      <c r="C347" t="s">
        <v>29</v>
      </c>
      <c r="D347" t="s">
        <v>13</v>
      </c>
      <c r="E347" t="s">
        <v>14</v>
      </c>
      <c r="F347">
        <v>630.6</v>
      </c>
      <c r="G347">
        <v>222</v>
      </c>
      <c r="H347">
        <v>433</v>
      </c>
      <c r="I347">
        <v>1895</v>
      </c>
      <c r="J347">
        <v>823.1</v>
      </c>
      <c r="K347">
        <f t="shared" si="5"/>
        <v>655</v>
      </c>
    </row>
    <row r="348" spans="1:11" x14ac:dyDescent="0.3">
      <c r="A348" s="2">
        <v>45870</v>
      </c>
      <c r="B348">
        <v>2025</v>
      </c>
      <c r="C348" t="s">
        <v>29</v>
      </c>
      <c r="D348" t="s">
        <v>15</v>
      </c>
      <c r="E348" t="s">
        <v>16</v>
      </c>
      <c r="F348">
        <v>7572.2</v>
      </c>
      <c r="G348">
        <v>49</v>
      </c>
      <c r="H348">
        <v>377</v>
      </c>
      <c r="I348">
        <v>8470</v>
      </c>
      <c r="J348">
        <v>1739.9</v>
      </c>
      <c r="K348">
        <f t="shared" si="5"/>
        <v>426</v>
      </c>
    </row>
    <row r="349" spans="1:11" x14ac:dyDescent="0.3">
      <c r="A349" s="2">
        <v>45870</v>
      </c>
      <c r="B349">
        <v>2025</v>
      </c>
      <c r="C349" t="s">
        <v>29</v>
      </c>
      <c r="D349" t="s">
        <v>17</v>
      </c>
      <c r="E349" t="s">
        <v>14</v>
      </c>
      <c r="F349">
        <v>6019.3</v>
      </c>
      <c r="G349">
        <v>533</v>
      </c>
      <c r="H349">
        <v>115</v>
      </c>
      <c r="I349">
        <v>16407</v>
      </c>
      <c r="J349">
        <v>1569.6</v>
      </c>
      <c r="K349">
        <f t="shared" si="5"/>
        <v>648</v>
      </c>
    </row>
    <row r="350" spans="1:11" x14ac:dyDescent="0.3">
      <c r="A350" s="2">
        <v>45870</v>
      </c>
      <c r="B350">
        <v>2025</v>
      </c>
      <c r="C350" t="s">
        <v>29</v>
      </c>
      <c r="D350" t="s">
        <v>18</v>
      </c>
      <c r="E350" t="s">
        <v>19</v>
      </c>
      <c r="F350">
        <v>2116.5</v>
      </c>
      <c r="G350">
        <v>153</v>
      </c>
      <c r="H350">
        <v>23</v>
      </c>
      <c r="I350">
        <v>28796</v>
      </c>
      <c r="J350">
        <v>1434.5</v>
      </c>
      <c r="K350">
        <f t="shared" si="5"/>
        <v>176</v>
      </c>
    </row>
    <row r="351" spans="1:11" x14ac:dyDescent="0.3">
      <c r="A351" s="2">
        <v>45870</v>
      </c>
      <c r="B351">
        <v>2025</v>
      </c>
      <c r="C351" t="s">
        <v>29</v>
      </c>
      <c r="D351" t="s">
        <v>20</v>
      </c>
      <c r="E351" t="s">
        <v>14</v>
      </c>
      <c r="F351">
        <v>5157.3999999999996</v>
      </c>
      <c r="G351">
        <v>451</v>
      </c>
      <c r="H351">
        <v>270</v>
      </c>
      <c r="I351">
        <v>14807</v>
      </c>
      <c r="J351">
        <v>926.6</v>
      </c>
      <c r="K351">
        <f t="shared" si="5"/>
        <v>721</v>
      </c>
    </row>
    <row r="352" spans="1:11" x14ac:dyDescent="0.3">
      <c r="A352" s="2">
        <v>45870</v>
      </c>
      <c r="B352">
        <v>2025</v>
      </c>
      <c r="C352" t="s">
        <v>29</v>
      </c>
      <c r="D352" t="s">
        <v>21</v>
      </c>
      <c r="E352" t="s">
        <v>19</v>
      </c>
      <c r="F352">
        <v>5195.3999999999996</v>
      </c>
      <c r="G352">
        <v>136</v>
      </c>
      <c r="H352">
        <v>445</v>
      </c>
      <c r="I352">
        <v>24540</v>
      </c>
      <c r="J352">
        <v>731.6</v>
      </c>
      <c r="K352">
        <f t="shared" si="5"/>
        <v>581</v>
      </c>
    </row>
    <row r="353" spans="1:11" x14ac:dyDescent="0.3">
      <c r="A353" s="2">
        <v>45870</v>
      </c>
      <c r="B353">
        <v>2025</v>
      </c>
      <c r="C353" t="s">
        <v>29</v>
      </c>
      <c r="D353" t="s">
        <v>22</v>
      </c>
      <c r="E353" t="s">
        <v>19</v>
      </c>
      <c r="F353">
        <v>4713.2</v>
      </c>
      <c r="G353">
        <v>101</v>
      </c>
      <c r="H353">
        <v>486</v>
      </c>
      <c r="I353">
        <v>27183</v>
      </c>
      <c r="J353">
        <v>1847.7</v>
      </c>
      <c r="K353">
        <f t="shared" si="5"/>
        <v>587</v>
      </c>
    </row>
    <row r="354" spans="1:11" x14ac:dyDescent="0.3">
      <c r="A354" s="2">
        <v>45901</v>
      </c>
      <c r="B354">
        <v>2025</v>
      </c>
      <c r="C354" t="s">
        <v>30</v>
      </c>
      <c r="D354" t="s">
        <v>11</v>
      </c>
      <c r="E354" t="s">
        <v>12</v>
      </c>
      <c r="F354">
        <v>2790.9</v>
      </c>
      <c r="G354">
        <v>118</v>
      </c>
      <c r="H354">
        <v>113</v>
      </c>
      <c r="I354">
        <v>3610</v>
      </c>
      <c r="J354">
        <v>284.2</v>
      </c>
      <c r="K354">
        <f t="shared" si="5"/>
        <v>231</v>
      </c>
    </row>
    <row r="355" spans="1:11" x14ac:dyDescent="0.3">
      <c r="A355" s="2">
        <v>45901</v>
      </c>
      <c r="B355">
        <v>2025</v>
      </c>
      <c r="C355" t="s">
        <v>30</v>
      </c>
      <c r="D355" t="s">
        <v>13</v>
      </c>
      <c r="E355" t="s">
        <v>14</v>
      </c>
      <c r="F355">
        <v>756.2</v>
      </c>
      <c r="G355">
        <v>594</v>
      </c>
      <c r="H355">
        <v>46</v>
      </c>
      <c r="I355">
        <v>4843</v>
      </c>
      <c r="J355">
        <v>1663.1</v>
      </c>
      <c r="K355">
        <f t="shared" si="5"/>
        <v>640</v>
      </c>
    </row>
    <row r="356" spans="1:11" x14ac:dyDescent="0.3">
      <c r="A356" s="2">
        <v>45901</v>
      </c>
      <c r="B356">
        <v>2025</v>
      </c>
      <c r="C356" t="s">
        <v>30</v>
      </c>
      <c r="D356" t="s">
        <v>15</v>
      </c>
      <c r="E356" t="s">
        <v>16</v>
      </c>
      <c r="F356">
        <v>4725.8999999999996</v>
      </c>
      <c r="G356">
        <v>469</v>
      </c>
      <c r="H356">
        <v>319</v>
      </c>
      <c r="I356">
        <v>26583</v>
      </c>
      <c r="J356">
        <v>1295</v>
      </c>
      <c r="K356">
        <f t="shared" si="5"/>
        <v>788</v>
      </c>
    </row>
    <row r="357" spans="1:11" x14ac:dyDescent="0.3">
      <c r="A357" s="2">
        <v>45901</v>
      </c>
      <c r="B357">
        <v>2025</v>
      </c>
      <c r="C357" t="s">
        <v>30</v>
      </c>
      <c r="D357" t="s">
        <v>17</v>
      </c>
      <c r="E357" t="s">
        <v>14</v>
      </c>
      <c r="F357">
        <v>4272.6000000000004</v>
      </c>
      <c r="G357">
        <v>433</v>
      </c>
      <c r="H357">
        <v>229</v>
      </c>
      <c r="I357">
        <v>11035</v>
      </c>
      <c r="J357">
        <v>961.9</v>
      </c>
      <c r="K357">
        <f t="shared" si="5"/>
        <v>662</v>
      </c>
    </row>
    <row r="358" spans="1:11" x14ac:dyDescent="0.3">
      <c r="A358" s="2">
        <v>45901</v>
      </c>
      <c r="B358">
        <v>2025</v>
      </c>
      <c r="C358" t="s">
        <v>30</v>
      </c>
      <c r="D358" t="s">
        <v>18</v>
      </c>
      <c r="E358" t="s">
        <v>19</v>
      </c>
      <c r="F358">
        <v>1523.8</v>
      </c>
      <c r="G358">
        <v>482</v>
      </c>
      <c r="H358">
        <v>137</v>
      </c>
      <c r="I358">
        <v>5452</v>
      </c>
      <c r="J358">
        <v>530.4</v>
      </c>
      <c r="K358">
        <f t="shared" si="5"/>
        <v>619</v>
      </c>
    </row>
    <row r="359" spans="1:11" x14ac:dyDescent="0.3">
      <c r="A359" s="2">
        <v>45901</v>
      </c>
      <c r="B359">
        <v>2025</v>
      </c>
      <c r="C359" t="s">
        <v>30</v>
      </c>
      <c r="D359" t="s">
        <v>20</v>
      </c>
      <c r="E359" t="s">
        <v>14</v>
      </c>
      <c r="F359">
        <v>6768.1</v>
      </c>
      <c r="G359">
        <v>211</v>
      </c>
      <c r="H359">
        <v>346</v>
      </c>
      <c r="I359">
        <v>25835</v>
      </c>
      <c r="J359">
        <v>201.6</v>
      </c>
      <c r="K359">
        <f t="shared" si="5"/>
        <v>557</v>
      </c>
    </row>
    <row r="360" spans="1:11" x14ac:dyDescent="0.3">
      <c r="A360" s="2">
        <v>45901</v>
      </c>
      <c r="B360">
        <v>2025</v>
      </c>
      <c r="C360" t="s">
        <v>30</v>
      </c>
      <c r="D360" t="s">
        <v>21</v>
      </c>
      <c r="E360" t="s">
        <v>19</v>
      </c>
      <c r="F360">
        <v>6167.2</v>
      </c>
      <c r="G360">
        <v>198</v>
      </c>
      <c r="H360">
        <v>116</v>
      </c>
      <c r="I360">
        <v>20978</v>
      </c>
      <c r="J360">
        <v>1824.1</v>
      </c>
      <c r="K360">
        <f t="shared" si="5"/>
        <v>314</v>
      </c>
    </row>
    <row r="361" spans="1:11" x14ac:dyDescent="0.3">
      <c r="A361" s="2">
        <v>45901</v>
      </c>
      <c r="B361">
        <v>2025</v>
      </c>
      <c r="C361" t="s">
        <v>30</v>
      </c>
      <c r="D361" t="s">
        <v>22</v>
      </c>
      <c r="E361" t="s">
        <v>19</v>
      </c>
      <c r="F361">
        <v>2501.1</v>
      </c>
      <c r="G361">
        <v>349</v>
      </c>
      <c r="H361">
        <v>152</v>
      </c>
      <c r="I361">
        <v>17074</v>
      </c>
      <c r="J361">
        <v>1262.5999999999999</v>
      </c>
      <c r="K361">
        <f t="shared" si="5"/>
        <v>501</v>
      </c>
    </row>
    <row r="362" spans="1:11" x14ac:dyDescent="0.3">
      <c r="A362" s="2">
        <v>45931</v>
      </c>
      <c r="B362">
        <v>2025</v>
      </c>
      <c r="C362" t="s">
        <v>31</v>
      </c>
      <c r="D362" t="s">
        <v>11</v>
      </c>
      <c r="E362" t="s">
        <v>12</v>
      </c>
      <c r="F362">
        <v>4960.6000000000004</v>
      </c>
      <c r="G362">
        <v>381</v>
      </c>
      <c r="H362">
        <v>76</v>
      </c>
      <c r="I362">
        <v>21112</v>
      </c>
      <c r="J362">
        <v>1365.8</v>
      </c>
      <c r="K362">
        <f t="shared" si="5"/>
        <v>457</v>
      </c>
    </row>
    <row r="363" spans="1:11" x14ac:dyDescent="0.3">
      <c r="A363" s="2">
        <v>45931</v>
      </c>
      <c r="B363">
        <v>2025</v>
      </c>
      <c r="C363" t="s">
        <v>31</v>
      </c>
      <c r="D363" t="s">
        <v>13</v>
      </c>
      <c r="E363" t="s">
        <v>14</v>
      </c>
      <c r="F363">
        <v>5524.2</v>
      </c>
      <c r="G363">
        <v>62</v>
      </c>
      <c r="H363">
        <v>228</v>
      </c>
      <c r="I363">
        <v>12862</v>
      </c>
      <c r="J363">
        <v>219.1</v>
      </c>
      <c r="K363">
        <f t="shared" si="5"/>
        <v>290</v>
      </c>
    </row>
    <row r="364" spans="1:11" x14ac:dyDescent="0.3">
      <c r="A364" s="2">
        <v>45931</v>
      </c>
      <c r="B364">
        <v>2025</v>
      </c>
      <c r="C364" t="s">
        <v>31</v>
      </c>
      <c r="D364" t="s">
        <v>15</v>
      </c>
      <c r="E364" t="s">
        <v>16</v>
      </c>
      <c r="F364">
        <v>1934.5</v>
      </c>
      <c r="G364">
        <v>275</v>
      </c>
      <c r="H364">
        <v>374</v>
      </c>
      <c r="I364">
        <v>7874</v>
      </c>
      <c r="J364">
        <v>1668</v>
      </c>
      <c r="K364">
        <f t="shared" si="5"/>
        <v>649</v>
      </c>
    </row>
    <row r="365" spans="1:11" x14ac:dyDescent="0.3">
      <c r="A365" s="2">
        <v>45931</v>
      </c>
      <c r="B365">
        <v>2025</v>
      </c>
      <c r="C365" t="s">
        <v>31</v>
      </c>
      <c r="D365" t="s">
        <v>17</v>
      </c>
      <c r="E365" t="s">
        <v>14</v>
      </c>
      <c r="F365">
        <v>4457.2</v>
      </c>
      <c r="G365">
        <v>461</v>
      </c>
      <c r="H365">
        <v>241</v>
      </c>
      <c r="I365">
        <v>15476</v>
      </c>
      <c r="J365">
        <v>1258.5</v>
      </c>
      <c r="K365">
        <f t="shared" si="5"/>
        <v>702</v>
      </c>
    </row>
    <row r="366" spans="1:11" x14ac:dyDescent="0.3">
      <c r="A366" s="2">
        <v>45931</v>
      </c>
      <c r="B366">
        <v>2025</v>
      </c>
      <c r="C366" t="s">
        <v>31</v>
      </c>
      <c r="D366" t="s">
        <v>18</v>
      </c>
      <c r="E366" t="s">
        <v>19</v>
      </c>
      <c r="F366">
        <v>7438.2</v>
      </c>
      <c r="G366">
        <v>305</v>
      </c>
      <c r="H366">
        <v>269</v>
      </c>
      <c r="I366">
        <v>18457</v>
      </c>
      <c r="J366">
        <v>1488.2</v>
      </c>
      <c r="K366">
        <f t="shared" si="5"/>
        <v>574</v>
      </c>
    </row>
    <row r="367" spans="1:11" x14ac:dyDescent="0.3">
      <c r="A367" s="2">
        <v>45931</v>
      </c>
      <c r="B367">
        <v>2025</v>
      </c>
      <c r="C367" t="s">
        <v>31</v>
      </c>
      <c r="D367" t="s">
        <v>20</v>
      </c>
      <c r="E367" t="s">
        <v>14</v>
      </c>
      <c r="F367">
        <v>760.4</v>
      </c>
      <c r="G367">
        <v>319</v>
      </c>
      <c r="H367">
        <v>245</v>
      </c>
      <c r="I367">
        <v>27728</v>
      </c>
      <c r="J367">
        <v>1012.3</v>
      </c>
      <c r="K367">
        <f t="shared" si="5"/>
        <v>564</v>
      </c>
    </row>
    <row r="368" spans="1:11" x14ac:dyDescent="0.3">
      <c r="A368" s="2">
        <v>45931</v>
      </c>
      <c r="B368">
        <v>2025</v>
      </c>
      <c r="C368" t="s">
        <v>31</v>
      </c>
      <c r="D368" t="s">
        <v>21</v>
      </c>
      <c r="E368" t="s">
        <v>19</v>
      </c>
      <c r="F368">
        <v>3852.9</v>
      </c>
      <c r="G368">
        <v>578</v>
      </c>
      <c r="H368">
        <v>230</v>
      </c>
      <c r="I368">
        <v>6245</v>
      </c>
      <c r="J368">
        <v>473</v>
      </c>
      <c r="K368">
        <f t="shared" si="5"/>
        <v>808</v>
      </c>
    </row>
    <row r="369" spans="1:11" x14ac:dyDescent="0.3">
      <c r="A369" s="2">
        <v>45931</v>
      </c>
      <c r="B369">
        <v>2025</v>
      </c>
      <c r="C369" t="s">
        <v>31</v>
      </c>
      <c r="D369" t="s">
        <v>22</v>
      </c>
      <c r="E369" t="s">
        <v>19</v>
      </c>
      <c r="F369">
        <v>942.5</v>
      </c>
      <c r="G369">
        <v>20</v>
      </c>
      <c r="H369">
        <v>221</v>
      </c>
      <c r="I369">
        <v>23308</v>
      </c>
      <c r="J369">
        <v>1480.3</v>
      </c>
      <c r="K369">
        <f t="shared" si="5"/>
        <v>241</v>
      </c>
    </row>
    <row r="370" spans="1:11" x14ac:dyDescent="0.3">
      <c r="A370" s="2">
        <v>45962</v>
      </c>
      <c r="B370">
        <v>2025</v>
      </c>
      <c r="C370" t="s">
        <v>32</v>
      </c>
      <c r="D370" t="s">
        <v>11</v>
      </c>
      <c r="E370" t="s">
        <v>12</v>
      </c>
      <c r="F370">
        <v>450.8</v>
      </c>
      <c r="G370">
        <v>350</v>
      </c>
      <c r="H370">
        <v>85</v>
      </c>
      <c r="I370">
        <v>28291</v>
      </c>
      <c r="J370">
        <v>376.4</v>
      </c>
      <c r="K370">
        <f t="shared" si="5"/>
        <v>435</v>
      </c>
    </row>
    <row r="371" spans="1:11" x14ac:dyDescent="0.3">
      <c r="A371" s="2">
        <v>45962</v>
      </c>
      <c r="B371">
        <v>2025</v>
      </c>
      <c r="C371" t="s">
        <v>32</v>
      </c>
      <c r="D371" t="s">
        <v>13</v>
      </c>
      <c r="E371" t="s">
        <v>14</v>
      </c>
      <c r="F371">
        <v>5087.8</v>
      </c>
      <c r="G371">
        <v>209</v>
      </c>
      <c r="H371">
        <v>324</v>
      </c>
      <c r="I371">
        <v>12955</v>
      </c>
      <c r="J371">
        <v>1531.3</v>
      </c>
      <c r="K371">
        <f t="shared" si="5"/>
        <v>533</v>
      </c>
    </row>
    <row r="372" spans="1:11" x14ac:dyDescent="0.3">
      <c r="A372" s="2">
        <v>45962</v>
      </c>
      <c r="B372">
        <v>2025</v>
      </c>
      <c r="C372" t="s">
        <v>32</v>
      </c>
      <c r="D372" t="s">
        <v>15</v>
      </c>
      <c r="E372" t="s">
        <v>16</v>
      </c>
      <c r="F372">
        <v>1999.3</v>
      </c>
      <c r="G372">
        <v>545</v>
      </c>
      <c r="H372">
        <v>255</v>
      </c>
      <c r="I372">
        <v>22926</v>
      </c>
      <c r="J372">
        <v>1707</v>
      </c>
      <c r="K372">
        <f t="shared" si="5"/>
        <v>800</v>
      </c>
    </row>
    <row r="373" spans="1:11" x14ac:dyDescent="0.3">
      <c r="A373" s="2">
        <v>45962</v>
      </c>
      <c r="B373">
        <v>2025</v>
      </c>
      <c r="C373" t="s">
        <v>32</v>
      </c>
      <c r="D373" t="s">
        <v>17</v>
      </c>
      <c r="E373" t="s">
        <v>14</v>
      </c>
      <c r="F373">
        <v>7990.9</v>
      </c>
      <c r="G373">
        <v>149</v>
      </c>
      <c r="H373">
        <v>150</v>
      </c>
      <c r="I373">
        <v>8262</v>
      </c>
      <c r="J373">
        <v>562.6</v>
      </c>
      <c r="K373">
        <f t="shared" si="5"/>
        <v>299</v>
      </c>
    </row>
    <row r="374" spans="1:11" x14ac:dyDescent="0.3">
      <c r="A374" s="2">
        <v>45962</v>
      </c>
      <c r="B374">
        <v>2025</v>
      </c>
      <c r="C374" t="s">
        <v>32</v>
      </c>
      <c r="D374" t="s">
        <v>18</v>
      </c>
      <c r="E374" t="s">
        <v>19</v>
      </c>
      <c r="F374">
        <v>4743.1000000000004</v>
      </c>
      <c r="G374">
        <v>596</v>
      </c>
      <c r="H374">
        <v>495</v>
      </c>
      <c r="I374">
        <v>16276</v>
      </c>
      <c r="J374">
        <v>1296.0999999999999</v>
      </c>
      <c r="K374">
        <f t="shared" si="5"/>
        <v>1091</v>
      </c>
    </row>
    <row r="375" spans="1:11" x14ac:dyDescent="0.3">
      <c r="A375" s="2">
        <v>45962</v>
      </c>
      <c r="B375">
        <v>2025</v>
      </c>
      <c r="C375" t="s">
        <v>32</v>
      </c>
      <c r="D375" t="s">
        <v>20</v>
      </c>
      <c r="E375" t="s">
        <v>14</v>
      </c>
      <c r="F375">
        <v>6907.8</v>
      </c>
      <c r="G375">
        <v>561</v>
      </c>
      <c r="H375">
        <v>109</v>
      </c>
      <c r="I375">
        <v>16327</v>
      </c>
      <c r="J375">
        <v>1674</v>
      </c>
      <c r="K375">
        <f t="shared" si="5"/>
        <v>670</v>
      </c>
    </row>
    <row r="376" spans="1:11" x14ac:dyDescent="0.3">
      <c r="A376" s="2">
        <v>45962</v>
      </c>
      <c r="B376">
        <v>2025</v>
      </c>
      <c r="C376" t="s">
        <v>32</v>
      </c>
      <c r="D376" t="s">
        <v>21</v>
      </c>
      <c r="E376" t="s">
        <v>19</v>
      </c>
      <c r="F376">
        <v>2565</v>
      </c>
      <c r="G376">
        <v>275</v>
      </c>
      <c r="H376">
        <v>492</v>
      </c>
      <c r="I376">
        <v>29566</v>
      </c>
      <c r="J376">
        <v>1816.9</v>
      </c>
      <c r="K376">
        <f t="shared" si="5"/>
        <v>767</v>
      </c>
    </row>
    <row r="377" spans="1:11" x14ac:dyDescent="0.3">
      <c r="A377" s="2">
        <v>45962</v>
      </c>
      <c r="B377">
        <v>2025</v>
      </c>
      <c r="C377" t="s">
        <v>32</v>
      </c>
      <c r="D377" t="s">
        <v>22</v>
      </c>
      <c r="E377" t="s">
        <v>19</v>
      </c>
      <c r="F377">
        <v>6427.9</v>
      </c>
      <c r="G377">
        <v>176</v>
      </c>
      <c r="H377">
        <v>167</v>
      </c>
      <c r="I377">
        <v>16871</v>
      </c>
      <c r="J377">
        <v>1143.5</v>
      </c>
      <c r="K377">
        <f t="shared" si="5"/>
        <v>343</v>
      </c>
    </row>
    <row r="378" spans="1:11" x14ac:dyDescent="0.3">
      <c r="A378" s="2">
        <v>45992</v>
      </c>
      <c r="B378">
        <v>2025</v>
      </c>
      <c r="C378" t="s">
        <v>33</v>
      </c>
      <c r="D378" t="s">
        <v>11</v>
      </c>
      <c r="E378" t="s">
        <v>12</v>
      </c>
      <c r="F378">
        <v>4142.8999999999996</v>
      </c>
      <c r="G378">
        <v>389</v>
      </c>
      <c r="H378">
        <v>210</v>
      </c>
      <c r="I378">
        <v>22726</v>
      </c>
      <c r="J378">
        <v>700.4</v>
      </c>
      <c r="K378">
        <f t="shared" si="5"/>
        <v>599</v>
      </c>
    </row>
    <row r="379" spans="1:11" x14ac:dyDescent="0.3">
      <c r="A379" s="2">
        <v>45992</v>
      </c>
      <c r="B379">
        <v>2025</v>
      </c>
      <c r="C379" t="s">
        <v>33</v>
      </c>
      <c r="D379" t="s">
        <v>13</v>
      </c>
      <c r="E379" t="s">
        <v>14</v>
      </c>
      <c r="F379">
        <v>2779.3</v>
      </c>
      <c r="G379">
        <v>93</v>
      </c>
      <c r="H379">
        <v>102</v>
      </c>
      <c r="I379">
        <v>25665</v>
      </c>
      <c r="J379">
        <v>920.3</v>
      </c>
      <c r="K379">
        <f t="shared" si="5"/>
        <v>195</v>
      </c>
    </row>
    <row r="380" spans="1:11" x14ac:dyDescent="0.3">
      <c r="A380" s="2">
        <v>45992</v>
      </c>
      <c r="B380">
        <v>2025</v>
      </c>
      <c r="C380" t="s">
        <v>33</v>
      </c>
      <c r="D380" t="s">
        <v>15</v>
      </c>
      <c r="E380" t="s">
        <v>16</v>
      </c>
      <c r="F380">
        <v>1977.4</v>
      </c>
      <c r="G380">
        <v>460</v>
      </c>
      <c r="H380">
        <v>281</v>
      </c>
      <c r="I380">
        <v>1613</v>
      </c>
      <c r="J380">
        <v>666.9</v>
      </c>
      <c r="K380">
        <f t="shared" si="5"/>
        <v>741</v>
      </c>
    </row>
    <row r="381" spans="1:11" x14ac:dyDescent="0.3">
      <c r="A381" s="2">
        <v>45992</v>
      </c>
      <c r="B381">
        <v>2025</v>
      </c>
      <c r="C381" t="s">
        <v>33</v>
      </c>
      <c r="D381" t="s">
        <v>17</v>
      </c>
      <c r="E381" t="s">
        <v>14</v>
      </c>
      <c r="F381">
        <v>1580.6</v>
      </c>
      <c r="G381">
        <v>400</v>
      </c>
      <c r="H381">
        <v>144</v>
      </c>
      <c r="I381">
        <v>2883</v>
      </c>
      <c r="J381">
        <v>157.1</v>
      </c>
      <c r="K381">
        <f t="shared" si="5"/>
        <v>544</v>
      </c>
    </row>
    <row r="382" spans="1:11" x14ac:dyDescent="0.3">
      <c r="A382" s="2">
        <v>45992</v>
      </c>
      <c r="B382">
        <v>2025</v>
      </c>
      <c r="C382" t="s">
        <v>33</v>
      </c>
      <c r="D382" t="s">
        <v>18</v>
      </c>
      <c r="E382" t="s">
        <v>19</v>
      </c>
      <c r="F382">
        <v>4737.5</v>
      </c>
      <c r="G382">
        <v>32</v>
      </c>
      <c r="H382">
        <v>425</v>
      </c>
      <c r="I382">
        <v>5506</v>
      </c>
      <c r="J382">
        <v>1232.8</v>
      </c>
      <c r="K382">
        <f t="shared" si="5"/>
        <v>457</v>
      </c>
    </row>
    <row r="383" spans="1:11" x14ac:dyDescent="0.3">
      <c r="A383" s="2">
        <v>45992</v>
      </c>
      <c r="B383">
        <v>2025</v>
      </c>
      <c r="C383" t="s">
        <v>33</v>
      </c>
      <c r="D383" t="s">
        <v>20</v>
      </c>
      <c r="E383" t="s">
        <v>14</v>
      </c>
      <c r="F383">
        <v>3668.6</v>
      </c>
      <c r="G383">
        <v>276</v>
      </c>
      <c r="H383">
        <v>45</v>
      </c>
      <c r="I383">
        <v>24279</v>
      </c>
      <c r="J383">
        <v>1791.5</v>
      </c>
      <c r="K383">
        <f t="shared" si="5"/>
        <v>321</v>
      </c>
    </row>
    <row r="384" spans="1:11" x14ac:dyDescent="0.3">
      <c r="A384" s="2">
        <v>45992</v>
      </c>
      <c r="B384">
        <v>2025</v>
      </c>
      <c r="C384" t="s">
        <v>33</v>
      </c>
      <c r="D384" t="s">
        <v>21</v>
      </c>
      <c r="E384" t="s">
        <v>19</v>
      </c>
      <c r="F384">
        <v>285.89999999999998</v>
      </c>
      <c r="G384">
        <v>123</v>
      </c>
      <c r="H384">
        <v>452</v>
      </c>
      <c r="I384">
        <v>16935</v>
      </c>
      <c r="J384">
        <v>342.6</v>
      </c>
      <c r="K384">
        <f t="shared" si="5"/>
        <v>575</v>
      </c>
    </row>
    <row r="385" spans="1:11" x14ac:dyDescent="0.3">
      <c r="A385" s="2">
        <v>45992</v>
      </c>
      <c r="B385">
        <v>2025</v>
      </c>
      <c r="C385" t="s">
        <v>33</v>
      </c>
      <c r="D385" t="s">
        <v>22</v>
      </c>
      <c r="E385" t="s">
        <v>19</v>
      </c>
      <c r="F385">
        <v>1781.8</v>
      </c>
      <c r="G385">
        <v>402</v>
      </c>
      <c r="H385">
        <v>365</v>
      </c>
      <c r="I385">
        <v>18383</v>
      </c>
      <c r="J385">
        <v>1908.6</v>
      </c>
      <c r="K385">
        <f t="shared" si="5"/>
        <v>767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EDB3E-EBBD-4FE5-A4C0-566267B3243F}">
  <dimension ref="A3:F75"/>
  <sheetViews>
    <sheetView workbookViewId="0">
      <selection activeCell="J86" sqref="J86"/>
    </sheetView>
  </sheetViews>
  <sheetFormatPr defaultRowHeight="14.4" x14ac:dyDescent="0.3"/>
  <cols>
    <col min="1" max="1" width="21" bestFit="1" customWidth="1"/>
    <col min="2" max="2" width="20" bestFit="1" customWidth="1"/>
    <col min="3" max="4" width="21" bestFit="1" customWidth="1"/>
    <col min="5" max="5" width="23.109375" bestFit="1" customWidth="1"/>
    <col min="6" max="6" width="23.5546875" bestFit="1" customWidth="1"/>
    <col min="7" max="7" width="20" bestFit="1" customWidth="1"/>
    <col min="8" max="8" width="22" bestFit="1" customWidth="1"/>
    <col min="9" max="10" width="10.77734375" bestFit="1" customWidth="1"/>
  </cols>
  <sheetData>
    <row r="3" spans="1:2" x14ac:dyDescent="0.3">
      <c r="A3" s="3" t="s">
        <v>35</v>
      </c>
      <c r="B3" t="s">
        <v>40</v>
      </c>
    </row>
    <row r="4" spans="1:2" x14ac:dyDescent="0.3">
      <c r="A4" s="4" t="s">
        <v>36</v>
      </c>
      <c r="B4" s="5">
        <v>66305.399999999994</v>
      </c>
    </row>
    <row r="5" spans="1:2" x14ac:dyDescent="0.3">
      <c r="A5" s="6" t="s">
        <v>10</v>
      </c>
      <c r="B5" s="5">
        <v>34629.800000000003</v>
      </c>
    </row>
    <row r="6" spans="1:2" x14ac:dyDescent="0.3">
      <c r="A6" s="6" t="s">
        <v>28</v>
      </c>
      <c r="B6" s="5">
        <v>31675.599999999999</v>
      </c>
    </row>
    <row r="7" spans="1:2" x14ac:dyDescent="0.3">
      <c r="A7" s="4" t="s">
        <v>37</v>
      </c>
      <c r="B7" s="5">
        <v>53153.5</v>
      </c>
    </row>
    <row r="8" spans="1:2" x14ac:dyDescent="0.3">
      <c r="A8" s="6" t="s">
        <v>10</v>
      </c>
      <c r="B8" s="5">
        <v>31707.699999999997</v>
      </c>
    </row>
    <row r="9" spans="1:2" x14ac:dyDescent="0.3">
      <c r="A9" s="6" t="s">
        <v>28</v>
      </c>
      <c r="B9" s="5">
        <v>21445.8</v>
      </c>
    </row>
    <row r="10" spans="1:2" x14ac:dyDescent="0.3">
      <c r="A10" s="4" t="s">
        <v>38</v>
      </c>
      <c r="B10" s="5">
        <v>65219.700000000004</v>
      </c>
    </row>
    <row r="11" spans="1:2" x14ac:dyDescent="0.3">
      <c r="A11" s="6" t="s">
        <v>10</v>
      </c>
      <c r="B11" s="5">
        <v>39428.9</v>
      </c>
    </row>
    <row r="12" spans="1:2" x14ac:dyDescent="0.3">
      <c r="A12" s="6" t="s">
        <v>28</v>
      </c>
      <c r="B12" s="5">
        <v>25790.800000000003</v>
      </c>
    </row>
    <row r="13" spans="1:2" x14ac:dyDescent="0.3">
      <c r="A13" s="4" t="s">
        <v>39</v>
      </c>
      <c r="B13" s="5">
        <v>83853.100000000006</v>
      </c>
    </row>
    <row r="14" spans="1:2" x14ac:dyDescent="0.3">
      <c r="A14" s="6" t="s">
        <v>10</v>
      </c>
      <c r="B14" s="5">
        <v>37359.700000000004</v>
      </c>
    </row>
    <row r="15" spans="1:2" x14ac:dyDescent="0.3">
      <c r="A15" s="6" t="s">
        <v>28</v>
      </c>
      <c r="B15" s="5">
        <v>46493.4</v>
      </c>
    </row>
    <row r="16" spans="1:2" x14ac:dyDescent="0.3">
      <c r="A16" s="4" t="s">
        <v>34</v>
      </c>
      <c r="B16" s="5">
        <v>268531.7</v>
      </c>
    </row>
    <row r="23" spans="1:2" x14ac:dyDescent="0.3">
      <c r="A23" s="3" t="s">
        <v>35</v>
      </c>
      <c r="B23" t="s">
        <v>41</v>
      </c>
    </row>
    <row r="24" spans="1:2" x14ac:dyDescent="0.3">
      <c r="A24" s="4" t="s">
        <v>36</v>
      </c>
      <c r="B24" s="5"/>
    </row>
    <row r="25" spans="1:2" x14ac:dyDescent="0.3">
      <c r="A25" s="6" t="s">
        <v>10</v>
      </c>
      <c r="B25" s="5">
        <v>127496</v>
      </c>
    </row>
    <row r="26" spans="1:2" x14ac:dyDescent="0.3">
      <c r="A26" s="6" t="s">
        <v>28</v>
      </c>
      <c r="B26" s="5">
        <v>93399</v>
      </c>
    </row>
    <row r="27" spans="1:2" x14ac:dyDescent="0.3">
      <c r="A27" s="4" t="s">
        <v>37</v>
      </c>
      <c r="B27" s="5"/>
    </row>
    <row r="28" spans="1:2" x14ac:dyDescent="0.3">
      <c r="A28" s="6" t="s">
        <v>10</v>
      </c>
      <c r="B28" s="5">
        <v>90921</v>
      </c>
    </row>
    <row r="29" spans="1:2" x14ac:dyDescent="0.3">
      <c r="A29" s="6" t="s">
        <v>28</v>
      </c>
      <c r="B29" s="5">
        <v>109605</v>
      </c>
    </row>
    <row r="30" spans="1:2" x14ac:dyDescent="0.3">
      <c r="A30" s="4" t="s">
        <v>38</v>
      </c>
      <c r="B30" s="5"/>
    </row>
    <row r="31" spans="1:2" x14ac:dyDescent="0.3">
      <c r="A31" s="6" t="s">
        <v>10</v>
      </c>
      <c r="B31" s="5">
        <v>128210</v>
      </c>
    </row>
    <row r="32" spans="1:2" x14ac:dyDescent="0.3">
      <c r="A32" s="6" t="s">
        <v>28</v>
      </c>
      <c r="B32" s="5">
        <v>137633</v>
      </c>
    </row>
    <row r="33" spans="1:4" x14ac:dyDescent="0.3">
      <c r="A33" s="4" t="s">
        <v>39</v>
      </c>
      <c r="B33" s="5"/>
    </row>
    <row r="34" spans="1:4" x14ac:dyDescent="0.3">
      <c r="A34" s="6" t="s">
        <v>10</v>
      </c>
      <c r="B34" s="5">
        <v>141699</v>
      </c>
    </row>
    <row r="35" spans="1:4" x14ac:dyDescent="0.3">
      <c r="A35" s="6" t="s">
        <v>28</v>
      </c>
      <c r="B35" s="5">
        <v>171075</v>
      </c>
    </row>
    <row r="36" spans="1:4" x14ac:dyDescent="0.3">
      <c r="A36" s="4" t="s">
        <v>34</v>
      </c>
      <c r="B36" s="5">
        <v>1000038</v>
      </c>
    </row>
    <row r="37" spans="1:4" x14ac:dyDescent="0.3">
      <c r="C37" s="3" t="s">
        <v>35</v>
      </c>
      <c r="D37" t="s">
        <v>46</v>
      </c>
    </row>
    <row r="38" spans="1:4" x14ac:dyDescent="0.3">
      <c r="C38" s="4" t="s">
        <v>13</v>
      </c>
      <c r="D38" s="5">
        <v>50333.100000000013</v>
      </c>
    </row>
    <row r="39" spans="1:4" x14ac:dyDescent="0.3">
      <c r="C39" s="4" t="s">
        <v>18</v>
      </c>
      <c r="D39" s="5">
        <v>56760.69999999999</v>
      </c>
    </row>
    <row r="40" spans="1:4" x14ac:dyDescent="0.3">
      <c r="C40" s="4" t="s">
        <v>11</v>
      </c>
      <c r="D40" s="5">
        <v>41881.900000000016</v>
      </c>
    </row>
    <row r="41" spans="1:4" x14ac:dyDescent="0.3">
      <c r="A41" s="8" t="e" vm="1">
        <v>#VALUE!</v>
      </c>
      <c r="C41" s="4" t="s">
        <v>21</v>
      </c>
      <c r="D41" s="5">
        <v>48426.799999999988</v>
      </c>
    </row>
    <row r="42" spans="1:4" x14ac:dyDescent="0.3">
      <c r="C42" s="4" t="s">
        <v>15</v>
      </c>
      <c r="D42" s="5">
        <v>46806.200000000004</v>
      </c>
    </row>
    <row r="43" spans="1:4" x14ac:dyDescent="0.3">
      <c r="C43" s="4" t="s">
        <v>20</v>
      </c>
      <c r="D43" s="5">
        <v>42828.999999999993</v>
      </c>
    </row>
    <row r="44" spans="1:4" x14ac:dyDescent="0.3">
      <c r="C44" s="4" t="s">
        <v>22</v>
      </c>
      <c r="D44" s="5">
        <v>58094.499999999985</v>
      </c>
    </row>
    <row r="45" spans="1:4" x14ac:dyDescent="0.3">
      <c r="C45" s="4" t="s">
        <v>17</v>
      </c>
      <c r="D45" s="5">
        <v>48135.099999999991</v>
      </c>
    </row>
    <row r="46" spans="1:4" x14ac:dyDescent="0.3">
      <c r="C46" s="4" t="s">
        <v>34</v>
      </c>
      <c r="D46" s="5">
        <v>393267.3</v>
      </c>
    </row>
    <row r="55" spans="1:6" x14ac:dyDescent="0.3">
      <c r="A55" s="3" t="s">
        <v>35</v>
      </c>
      <c r="B55" t="s">
        <v>45</v>
      </c>
    </row>
    <row r="56" spans="1:6" x14ac:dyDescent="0.3">
      <c r="A56" s="4" t="s">
        <v>22</v>
      </c>
      <c r="B56" s="5">
        <v>25785</v>
      </c>
    </row>
    <row r="57" spans="1:6" x14ac:dyDescent="0.3">
      <c r="A57" s="4" t="s">
        <v>11</v>
      </c>
      <c r="B57" s="5">
        <v>26225</v>
      </c>
    </row>
    <row r="58" spans="1:6" x14ac:dyDescent="0.3">
      <c r="A58" s="4" t="s">
        <v>20</v>
      </c>
      <c r="B58" s="5">
        <v>26275</v>
      </c>
      <c r="D58" s="3" t="s">
        <v>35</v>
      </c>
      <c r="E58" t="s">
        <v>43</v>
      </c>
      <c r="F58" t="s">
        <v>42</v>
      </c>
    </row>
    <row r="59" spans="1:6" x14ac:dyDescent="0.3">
      <c r="A59" s="4" t="s">
        <v>21</v>
      </c>
      <c r="B59" s="5">
        <v>26686</v>
      </c>
      <c r="D59" s="4" t="s">
        <v>22</v>
      </c>
      <c r="E59" s="5">
        <v>12616</v>
      </c>
      <c r="F59" s="5">
        <v>13169</v>
      </c>
    </row>
    <row r="60" spans="1:6" x14ac:dyDescent="0.3">
      <c r="A60" s="4" t="s">
        <v>13</v>
      </c>
      <c r="B60" s="5">
        <v>26843</v>
      </c>
      <c r="D60" s="4" t="s">
        <v>11</v>
      </c>
      <c r="E60" s="5">
        <v>14027</v>
      </c>
      <c r="F60" s="5">
        <v>12198</v>
      </c>
    </row>
    <row r="61" spans="1:6" x14ac:dyDescent="0.3">
      <c r="A61" s="4" t="s">
        <v>17</v>
      </c>
      <c r="B61" s="5">
        <v>28503</v>
      </c>
      <c r="D61" s="4" t="s">
        <v>20</v>
      </c>
      <c r="E61" s="5">
        <v>14838</v>
      </c>
      <c r="F61" s="5">
        <v>11437</v>
      </c>
    </row>
    <row r="62" spans="1:6" x14ac:dyDescent="0.3">
      <c r="A62" s="4" t="s">
        <v>15</v>
      </c>
      <c r="B62" s="5">
        <v>29030</v>
      </c>
      <c r="D62" s="4" t="s">
        <v>21</v>
      </c>
      <c r="E62" s="5">
        <v>14860</v>
      </c>
      <c r="F62" s="5">
        <v>11826</v>
      </c>
    </row>
    <row r="63" spans="1:6" x14ac:dyDescent="0.3">
      <c r="A63" s="4" t="s">
        <v>18</v>
      </c>
      <c r="B63" s="5">
        <v>29432</v>
      </c>
      <c r="D63" s="4" t="s">
        <v>13</v>
      </c>
      <c r="E63" s="5">
        <v>15721</v>
      </c>
      <c r="F63" s="5">
        <v>11122</v>
      </c>
    </row>
    <row r="64" spans="1:6" x14ac:dyDescent="0.3">
      <c r="A64" s="4" t="s">
        <v>34</v>
      </c>
      <c r="B64" s="5">
        <v>218779</v>
      </c>
      <c r="D64" s="4" t="s">
        <v>18</v>
      </c>
      <c r="E64" s="5">
        <v>16149</v>
      </c>
      <c r="F64" s="5">
        <v>13283</v>
      </c>
    </row>
    <row r="65" spans="1:6" x14ac:dyDescent="0.3">
      <c r="D65" s="4" t="s">
        <v>17</v>
      </c>
      <c r="E65" s="5">
        <v>16468</v>
      </c>
      <c r="F65" s="5">
        <v>12035</v>
      </c>
    </row>
    <row r="66" spans="1:6" x14ac:dyDescent="0.3">
      <c r="D66" s="4" t="s">
        <v>15</v>
      </c>
      <c r="E66" s="5">
        <v>16646</v>
      </c>
      <c r="F66" s="5">
        <v>12384</v>
      </c>
    </row>
    <row r="67" spans="1:6" x14ac:dyDescent="0.3">
      <c r="D67" s="4" t="s">
        <v>34</v>
      </c>
      <c r="E67" s="5">
        <v>121325</v>
      </c>
      <c r="F67" s="5">
        <v>97454</v>
      </c>
    </row>
    <row r="70" spans="1:6" x14ac:dyDescent="0.3">
      <c r="A70" s="3" t="s">
        <v>35</v>
      </c>
      <c r="B70" t="s">
        <v>40</v>
      </c>
    </row>
    <row r="71" spans="1:6" x14ac:dyDescent="0.3">
      <c r="A71" s="4" t="s">
        <v>14</v>
      </c>
      <c r="B71" s="5">
        <v>619276.1</v>
      </c>
    </row>
    <row r="72" spans="1:6" x14ac:dyDescent="0.3">
      <c r="A72" s="4" t="s">
        <v>19</v>
      </c>
      <c r="B72" s="5">
        <v>579292.30000000016</v>
      </c>
    </row>
    <row r="73" spans="1:6" x14ac:dyDescent="0.3">
      <c r="A73" s="4" t="s">
        <v>12</v>
      </c>
      <c r="B73" s="5">
        <v>190768.40000000002</v>
      </c>
    </row>
    <row r="74" spans="1:6" x14ac:dyDescent="0.3">
      <c r="A74" s="4" t="s">
        <v>16</v>
      </c>
      <c r="B74" s="5">
        <v>175227.1</v>
      </c>
    </row>
    <row r="75" spans="1:6" x14ac:dyDescent="0.3">
      <c r="A75" s="4" t="s">
        <v>34</v>
      </c>
      <c r="B75" s="5">
        <v>1564563.9000000001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6A80F-99F6-4708-AF4C-3FEC7E8787A3}">
  <dimension ref="A1"/>
  <sheetViews>
    <sheetView topLeftCell="A30" workbookViewId="0">
      <selection activeCell="R36" sqref="R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1D9D-D156-4408-9207-04C3987B5549}">
  <dimension ref="A1:AJ6"/>
  <sheetViews>
    <sheetView showGridLines="0" tabSelected="1" zoomScale="79" workbookViewId="0">
      <selection activeCell="P26" sqref="P26"/>
    </sheetView>
  </sheetViews>
  <sheetFormatPr defaultRowHeight="14.4" x14ac:dyDescent="0.3"/>
  <sheetData>
    <row r="1" spans="1:36" x14ac:dyDescent="0.3">
      <c r="A1" s="10" t="s">
        <v>51</v>
      </c>
      <c r="B1" s="9"/>
      <c r="C1" s="9"/>
      <c r="D1" s="9"/>
      <c r="E1" s="9"/>
      <c r="F1" s="9"/>
      <c r="G1" s="9"/>
      <c r="H1" s="9"/>
      <c r="I1" s="9"/>
      <c r="J1" s="9"/>
      <c r="K1" s="9"/>
      <c r="L1" s="9"/>
      <c r="M1" s="9"/>
      <c r="N1" s="9"/>
      <c r="O1" s="9"/>
      <c r="P1" s="9"/>
      <c r="Q1" s="9"/>
      <c r="R1" s="9"/>
      <c r="S1" s="10"/>
      <c r="T1" s="9"/>
      <c r="U1" s="9"/>
      <c r="V1" s="9"/>
      <c r="W1" s="9"/>
      <c r="X1" s="9"/>
      <c r="Y1" s="9"/>
      <c r="Z1" s="9"/>
      <c r="AA1" s="9"/>
      <c r="AB1" s="9"/>
      <c r="AC1" s="9"/>
      <c r="AD1" s="9"/>
      <c r="AE1" s="9"/>
      <c r="AF1" s="9"/>
      <c r="AG1" s="9"/>
      <c r="AH1" s="9"/>
      <c r="AI1" s="9"/>
      <c r="AJ1" s="9"/>
    </row>
    <row r="2" spans="1:36"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row>
    <row r="3" spans="1:36"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spans="1:36" x14ac:dyDescent="0.3">
      <c r="A4" s="11" t="s">
        <v>52</v>
      </c>
      <c r="B4" s="9"/>
      <c r="C4" s="9"/>
      <c r="D4" s="9"/>
      <c r="E4" s="9"/>
      <c r="F4" s="9"/>
      <c r="G4" s="9"/>
      <c r="H4" s="9"/>
      <c r="I4" s="9"/>
      <c r="J4" s="9"/>
      <c r="K4" s="9"/>
      <c r="L4" s="9"/>
      <c r="M4" s="9"/>
      <c r="N4" s="9"/>
      <c r="O4" s="9"/>
      <c r="P4" s="9"/>
      <c r="Q4" s="9"/>
      <c r="R4" s="9"/>
      <c r="S4" s="11"/>
      <c r="T4" s="9"/>
      <c r="U4" s="9"/>
      <c r="V4" s="9"/>
      <c r="W4" s="9"/>
      <c r="X4" s="9"/>
      <c r="Y4" s="9"/>
      <c r="Z4" s="9"/>
      <c r="AA4" s="9"/>
      <c r="AB4" s="9"/>
      <c r="AC4" s="9"/>
      <c r="AD4" s="9"/>
      <c r="AE4" s="9"/>
      <c r="AF4" s="9"/>
      <c r="AG4" s="9"/>
      <c r="AH4" s="9"/>
      <c r="AI4" s="9"/>
      <c r="AJ4" s="9"/>
    </row>
    <row r="5" spans="1:36"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row>
    <row r="6" spans="1:36"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sheetData>
  <mergeCells count="4">
    <mergeCell ref="A1:R3"/>
    <mergeCell ref="A4:R6"/>
    <mergeCell ref="S1:AJ3"/>
    <mergeCell ref="S4:AJ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working sheet</vt:lpstr>
      <vt:lpstr>Sheet7</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Rina Joshi</cp:lastModifiedBy>
  <dcterms:created xsi:type="dcterms:W3CDTF">2026-06-17T17:46:40Z</dcterms:created>
  <dcterms:modified xsi:type="dcterms:W3CDTF">2026-06-17T20:36:52Z</dcterms:modified>
</cp:coreProperties>
</file>